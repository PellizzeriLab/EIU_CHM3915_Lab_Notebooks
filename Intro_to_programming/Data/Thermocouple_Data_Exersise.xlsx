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pmaileiu-my.sharepoint.com/personal/spellizzeri_eiu_edu/Documents/EIU_CLASS_MATERIALS/CHM3915/3915 - SP24 - Pellizzeri/Intro_to_programing/"/>
    </mc:Choice>
  </mc:AlternateContent>
  <xr:revisionPtr revIDLastSave="190" documentId="11_F25DC773A252ABDACC1048D0219A47E05BDE58F2" xr6:coauthVersionLast="47" xr6:coauthVersionMax="47" xr10:uidLastSave="{B219F1FE-4677-45DA-B262-8366F542E826}"/>
  <bookViews>
    <workbookView xWindow="-28920" yWindow="1305" windowWidth="29040" windowHeight="164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 a="1"/>
  <c r="A36" i="1" s="1"/>
  <c r="A27" i="1" a="1"/>
  <c r="A27" i="1" s="1"/>
  <c r="E22" i="1"/>
  <c r="D22" i="1"/>
  <c r="C22" i="1"/>
  <c r="B22" i="1"/>
  <c r="E21" i="1"/>
  <c r="D21" i="1"/>
  <c r="C21" i="1"/>
  <c r="B21" i="1"/>
  <c r="E20" i="1"/>
  <c r="D20" i="1"/>
  <c r="C20" i="1"/>
  <c r="B20" i="1"/>
  <c r="H44" i="1" l="1"/>
  <c r="H43" i="1"/>
  <c r="H42" i="1"/>
  <c r="H41" i="1"/>
  <c r="E31" i="1"/>
  <c r="E30" i="1"/>
  <c r="E29" i="1"/>
  <c r="E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<sst xmlns="http://schemas.openxmlformats.org/spreadsheetml/2006/main" count="30" uniqueCount="17">
  <si>
    <t>emf BW/IW (mV)</t>
  </si>
  <si>
    <t>emf IW/CO2 (mV)</t>
  </si>
  <si>
    <t>emf IW/N2 (mV)</t>
  </si>
  <si>
    <t>emf IW/IW (mV)</t>
  </si>
  <si>
    <t>Run</t>
  </si>
  <si>
    <t>Delta T</t>
  </si>
  <si>
    <t>mean</t>
  </si>
  <si>
    <t>std</t>
  </si>
  <si>
    <t>95% conf</t>
  </si>
  <si>
    <t>## Linear Fit</t>
  </si>
  <si>
    <t>fit</t>
  </si>
  <si>
    <t>slope</t>
  </si>
  <si>
    <t>intercept</t>
  </si>
  <si>
    <t>S_fit</t>
  </si>
  <si>
    <t>R^2</t>
  </si>
  <si>
    <t>## Second Order Fit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</si>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</sst>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workbookViewId="0">
      <selection activeCell="B20" sqref="B20:E22"/>
    </sheetView>
  </sheetViews>
  <sheetFormatPr defaultRowHeight="15" x14ac:dyDescent="0.25"/>
  <cols>
    <col min="1" max="1" width="17.5703125" bestFit="1" customWidth="1"/>
    <col min="2" max="2" width="16.28515625" bestFit="1" customWidth="1"/>
    <col min="3" max="3" width="17.5703125" bestFit="1" customWidth="1"/>
    <col min="4" max="5" width="15.7109375" bestFit="1" customWidth="1"/>
  </cols>
  <sheetData>
    <row r="1" spans="1:22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22" x14ac:dyDescent="0.25">
      <c r="A2">
        <v>1</v>
      </c>
      <c r="B2" s="5">
        <v>4.1779999999999999</v>
      </c>
      <c r="C2" s="5">
        <v>-2.613</v>
      </c>
      <c r="D2" s="5">
        <v>-5.4530000000000003</v>
      </c>
      <c r="E2" s="5">
        <v>7.0000000000000001E-3</v>
      </c>
    </row>
    <row r="3" spans="1:22" x14ac:dyDescent="0.25">
      <c r="A3">
        <v>2</v>
      </c>
      <c r="B3" s="5">
        <v>4.1449999999999996</v>
      </c>
      <c r="C3" s="5">
        <v>-2.52</v>
      </c>
      <c r="D3" s="5">
        <v>-5.415</v>
      </c>
      <c r="E3" s="5">
        <v>3.0000000000000001E-3</v>
      </c>
    </row>
    <row r="4" spans="1:22" x14ac:dyDescent="0.25">
      <c r="A4">
        <v>3</v>
      </c>
      <c r="B4" s="5">
        <v>4.133</v>
      </c>
      <c r="C4" s="5">
        <v>-2.391</v>
      </c>
      <c r="D4" s="5">
        <v>-5.4329999999999998</v>
      </c>
      <c r="E4" s="5">
        <v>0</v>
      </c>
    </row>
    <row r="5" spans="1:22" x14ac:dyDescent="0.25">
      <c r="A5">
        <v>4</v>
      </c>
      <c r="B5" s="5">
        <v>4.1820000000000004</v>
      </c>
      <c r="C5" s="5">
        <v>-2.335</v>
      </c>
      <c r="D5" s="5">
        <v>-5.39</v>
      </c>
      <c r="E5" s="5">
        <v>5.0000000000000001E-3</v>
      </c>
    </row>
    <row r="6" spans="1:22" x14ac:dyDescent="0.25">
      <c r="A6">
        <v>5</v>
      </c>
      <c r="B6" s="5">
        <v>4.1449999999999996</v>
      </c>
      <c r="C6" s="5">
        <v>-2.4449999999999998</v>
      </c>
      <c r="D6" s="5">
        <v>-5.5170000000000003</v>
      </c>
      <c r="E6" s="5">
        <v>8.0000000000000002E-3</v>
      </c>
    </row>
    <row r="7" spans="1:22" x14ac:dyDescent="0.25">
      <c r="A7">
        <v>6</v>
      </c>
      <c r="B7" s="5">
        <v>4.1520000000000001</v>
      </c>
      <c r="C7" s="5">
        <v>-2.589</v>
      </c>
      <c r="D7" s="5">
        <v>-5.3719999999999999</v>
      </c>
      <c r="E7" s="5">
        <v>7.0000000000000001E-3</v>
      </c>
    </row>
    <row r="8" spans="1:22" x14ac:dyDescent="0.25">
      <c r="A8">
        <v>7</v>
      </c>
      <c r="B8" s="6">
        <v>4.17</v>
      </c>
      <c r="C8" s="5">
        <v>-2.383</v>
      </c>
      <c r="D8" s="6">
        <v>-5.4279999999999999</v>
      </c>
      <c r="E8" s="6">
        <v>4.5999999999999999E-2</v>
      </c>
    </row>
    <row r="9" spans="1:22" x14ac:dyDescent="0.25">
      <c r="A9">
        <v>8</v>
      </c>
      <c r="B9" s="6">
        <v>4.1020000000000003</v>
      </c>
      <c r="C9" s="5">
        <v>-2.7639999999999998</v>
      </c>
      <c r="D9" s="6">
        <v>-5.43</v>
      </c>
      <c r="E9" s="6">
        <v>3.5999999999999997E-2</v>
      </c>
    </row>
    <row r="10" spans="1:22" x14ac:dyDescent="0.25">
      <c r="A10">
        <v>9</v>
      </c>
      <c r="B10" s="6">
        <v>4.1369999999999996</v>
      </c>
      <c r="C10" s="5">
        <v>-2.35</v>
      </c>
      <c r="D10" s="6">
        <v>-5.4859999999999998</v>
      </c>
      <c r="E10" s="6">
        <v>0</v>
      </c>
    </row>
    <row r="11" spans="1:22" x14ac:dyDescent="0.25">
      <c r="A11">
        <v>10</v>
      </c>
      <c r="B11" s="6">
        <v>4.0609999999999999</v>
      </c>
      <c r="C11" s="6">
        <v>-2.2320000000000002</v>
      </c>
      <c r="D11" s="6">
        <v>-5.423</v>
      </c>
      <c r="E11" s="6">
        <v>7.0000000000000001E-3</v>
      </c>
    </row>
    <row r="12" spans="1:22" x14ac:dyDescent="0.25">
      <c r="A12">
        <v>11</v>
      </c>
      <c r="B12" s="6">
        <v>4.1020000000000003</v>
      </c>
      <c r="C12" s="6">
        <v>-2.3180000000000001</v>
      </c>
      <c r="D12" s="6">
        <v>-5.4249999999999998</v>
      </c>
      <c r="E12" s="6">
        <v>2E-3</v>
      </c>
      <c r="P12" s="1"/>
      <c r="Q12" s="1"/>
      <c r="R12" s="1"/>
      <c r="S12" s="1"/>
      <c r="T12" s="1"/>
      <c r="U12" s="1"/>
      <c r="V12" s="1"/>
    </row>
    <row r="13" spans="1:22" x14ac:dyDescent="0.25">
      <c r="A13">
        <v>12</v>
      </c>
      <c r="B13" s="6">
        <v>4.0650000000000004</v>
      </c>
      <c r="C13" s="6">
        <v>-2.4129999999999998</v>
      </c>
      <c r="D13" s="6">
        <v>-5.4429999999999996</v>
      </c>
      <c r="E13" s="6">
        <v>0</v>
      </c>
      <c r="P13" s="2"/>
      <c r="Q13" s="2"/>
      <c r="R13" s="2"/>
      <c r="S13" s="2"/>
      <c r="T13" s="2"/>
      <c r="U13" s="2"/>
      <c r="V13" s="2"/>
    </row>
    <row r="14" spans="1:22" x14ac:dyDescent="0.25">
      <c r="A14">
        <v>13</v>
      </c>
      <c r="B14" s="6">
        <v>4.149</v>
      </c>
      <c r="C14" s="6">
        <v>-2.35</v>
      </c>
      <c r="D14" s="6">
        <v>-5.4989999999999997</v>
      </c>
      <c r="E14" s="6">
        <v>3.0000000000000001E-3</v>
      </c>
      <c r="P14" s="2"/>
      <c r="Q14" s="2"/>
      <c r="R14" s="2"/>
      <c r="S14" s="2"/>
      <c r="T14" s="2"/>
      <c r="U14" s="2"/>
      <c r="V14" s="2"/>
    </row>
    <row r="15" spans="1:22" x14ac:dyDescent="0.25">
      <c r="A15">
        <v>14</v>
      </c>
      <c r="B15" s="6">
        <v>4.1159999999999997</v>
      </c>
      <c r="C15" s="6">
        <v>-2.262</v>
      </c>
      <c r="D15" s="6">
        <v>-5.4219999999999997</v>
      </c>
      <c r="E15" s="6">
        <v>2E-3</v>
      </c>
      <c r="P15" s="2"/>
      <c r="Q15" s="2"/>
      <c r="R15" s="2"/>
      <c r="S15" s="2"/>
      <c r="T15" s="2"/>
      <c r="U15" s="2"/>
      <c r="V15" s="2"/>
    </row>
    <row r="16" spans="1:22" x14ac:dyDescent="0.25">
      <c r="A16">
        <v>15</v>
      </c>
      <c r="B16" s="6">
        <v>4.0679999999999996</v>
      </c>
      <c r="C16" s="6">
        <v>-2.3039999999999998</v>
      </c>
      <c r="D16" s="6">
        <v>-5.4329999999999998</v>
      </c>
      <c r="E16" s="6">
        <v>0</v>
      </c>
      <c r="P16" s="2"/>
      <c r="Q16" s="2"/>
      <c r="R16" s="2"/>
      <c r="S16" s="2"/>
      <c r="T16" s="2"/>
      <c r="U16" s="2"/>
      <c r="V16" s="2"/>
    </row>
    <row r="17" spans="1:22" x14ac:dyDescent="0.25">
      <c r="A17">
        <v>16</v>
      </c>
      <c r="B17" s="6">
        <v>4.1630000000000003</v>
      </c>
      <c r="C17" s="6">
        <v>-2.3410000000000002</v>
      </c>
      <c r="D17" s="6">
        <v>-5.4450000000000003</v>
      </c>
      <c r="E17" s="6">
        <v>2E-3</v>
      </c>
      <c r="P17" s="2"/>
      <c r="Q17" s="2"/>
      <c r="R17" s="2"/>
      <c r="S17" s="2"/>
      <c r="T17" s="2"/>
      <c r="U17" s="2"/>
      <c r="V17" s="2"/>
    </row>
    <row r="18" spans="1:22" x14ac:dyDescent="0.25">
      <c r="P18" s="2"/>
      <c r="Q18" s="2"/>
      <c r="R18" s="2"/>
      <c r="S18" s="2"/>
      <c r="T18" s="2"/>
      <c r="U18" s="2"/>
      <c r="V18" s="2"/>
    </row>
    <row r="19" spans="1:22" x14ac:dyDescent="0.25">
      <c r="A19" t="s">
        <v>5</v>
      </c>
      <c r="B19" s="7">
        <v>100</v>
      </c>
      <c r="C19" s="7">
        <v>-78</v>
      </c>
      <c r="D19" s="7">
        <v>-196</v>
      </c>
      <c r="E19" s="7">
        <v>0</v>
      </c>
      <c r="P19" s="3"/>
      <c r="Q19" s="3"/>
      <c r="R19" s="3"/>
      <c r="S19" s="2"/>
      <c r="T19" s="3"/>
      <c r="V19" s="4"/>
    </row>
    <row r="20" spans="1:22" x14ac:dyDescent="0.25">
      <c r="A20" t="s">
        <v>6</v>
      </c>
      <c r="B20">
        <f t="shared" ref="B20:E20" si="0">AVERAGE(B7:B18)</f>
        <v>4.1168181818181813</v>
      </c>
      <c r="C20">
        <f t="shared" si="0"/>
        <v>-2.3914545454545451</v>
      </c>
      <c r="D20">
        <f t="shared" si="0"/>
        <v>-5.4369090909090909</v>
      </c>
      <c r="E20">
        <f t="shared" si="0"/>
        <v>9.5454545454545462E-3</v>
      </c>
      <c r="P20" s="3"/>
      <c r="Q20" s="3"/>
      <c r="R20" s="3"/>
      <c r="S20" s="2"/>
      <c r="T20" s="3"/>
      <c r="V20" s="4"/>
    </row>
    <row r="21" spans="1:22" x14ac:dyDescent="0.25">
      <c r="A21" t="s">
        <v>7</v>
      </c>
      <c r="B21">
        <f t="shared" ref="B21:E21" si="1">_xlfn.STDEV.P(B7:B18)</f>
        <v>3.8453793244308587E-2</v>
      </c>
      <c r="C21">
        <f t="shared" si="1"/>
        <v>0.14757455042751874</v>
      </c>
      <c r="D21">
        <f t="shared" si="1"/>
        <v>3.2024009587848956E-2</v>
      </c>
      <c r="E21">
        <f t="shared" si="1"/>
        <v>1.5161935810465007E-2</v>
      </c>
      <c r="P21" s="3"/>
      <c r="Q21" s="3"/>
      <c r="R21" s="3"/>
      <c r="S21" s="2"/>
      <c r="T21" s="3"/>
      <c r="V21" s="4"/>
    </row>
    <row r="22" spans="1:22" x14ac:dyDescent="0.25">
      <c r="A22" t="s">
        <v>8</v>
      </c>
      <c r="B22">
        <f t="shared" ref="B22:E22" si="2">_xlfn.CONFIDENCE.T(0.05,B21,COUNT(B7:B18))</f>
        <v>2.583360981412372E-2</v>
      </c>
      <c r="C22">
        <f t="shared" si="2"/>
        <v>9.9141931981014703E-2</v>
      </c>
      <c r="D22">
        <f t="shared" si="2"/>
        <v>2.1514022377979374E-2</v>
      </c>
      <c r="E22">
        <f t="shared" si="2"/>
        <v>1.0185927075277939E-2</v>
      </c>
      <c r="P22" s="3"/>
      <c r="Q22" s="3"/>
      <c r="R22" s="3"/>
      <c r="S22" s="3"/>
      <c r="T22" s="3"/>
      <c r="V22" s="4"/>
    </row>
    <row r="23" spans="1:22" x14ac:dyDescent="0.25">
      <c r="P23" s="3"/>
      <c r="Q23" s="3"/>
      <c r="R23" s="3"/>
      <c r="S23" s="3"/>
      <c r="T23" s="3"/>
      <c r="V23" s="4"/>
    </row>
    <row r="24" spans="1:22" x14ac:dyDescent="0.25">
      <c r="P24" s="3"/>
      <c r="Q24" s="3"/>
      <c r="R24" s="3"/>
      <c r="S24" s="3"/>
      <c r="T24" s="3"/>
      <c r="V24" s="4"/>
    </row>
    <row r="25" spans="1:22" x14ac:dyDescent="0.25">
      <c r="A25" t="s">
        <v>9</v>
      </c>
      <c r="P25" s="3"/>
      <c r="Q25" s="3"/>
      <c r="R25" s="3"/>
      <c r="S25" s="3"/>
      <c r="T25" s="3"/>
      <c r="V25" s="4"/>
    </row>
    <row r="26" spans="1:22" x14ac:dyDescent="0.25">
      <c r="P26" s="4"/>
      <c r="Q26" s="4"/>
      <c r="R26" s="4"/>
      <c r="S26" s="3"/>
      <c r="T26" s="4"/>
      <c r="V26" s="4"/>
    </row>
    <row r="27" spans="1:22" x14ac:dyDescent="0.25">
      <c r="A27" cm="1">
        <f t="array" ref="A27:B31">LINEST(B20:E20,B19:E19^{1},TRUE,TRUE)</f>
        <v>3.2021743720471639E-2</v>
      </c>
      <c r="B27">
        <v>0.46744585184051624</v>
      </c>
      <c r="D27" t="s">
        <v>10</v>
      </c>
      <c r="P27" s="4"/>
      <c r="Q27" s="4"/>
      <c r="R27" s="4"/>
      <c r="S27" s="3"/>
      <c r="T27" s="4"/>
      <c r="V27" s="4"/>
    </row>
    <row r="28" spans="1:22" x14ac:dyDescent="0.25">
      <c r="A28">
        <v>2.6885089582482946E-3</v>
      </c>
      <c r="B28">
        <v>0.31381936795419535</v>
      </c>
      <c r="D28" t="s">
        <v>11</v>
      </c>
      <c r="E28">
        <f>A27</f>
        <v>3.2021743720471639E-2</v>
      </c>
      <c r="P28" s="4"/>
      <c r="Q28" s="4"/>
      <c r="R28" s="4"/>
      <c r="S28" s="3"/>
      <c r="T28" s="4"/>
      <c r="V28" s="4"/>
    </row>
    <row r="29" spans="1:22" x14ac:dyDescent="0.25">
      <c r="A29">
        <v>0.98609781658904372</v>
      </c>
      <c r="B29">
        <v>0.58242685560028951</v>
      </c>
      <c r="D29" t="s">
        <v>12</v>
      </c>
      <c r="E29">
        <f>B27</f>
        <v>0.46744585184051624</v>
      </c>
      <c r="S29" s="4"/>
    </row>
    <row r="30" spans="1:22" x14ac:dyDescent="0.25">
      <c r="A30">
        <v>141.86229420795797</v>
      </c>
      <c r="B30">
        <v>2</v>
      </c>
      <c r="D30" t="s">
        <v>13</v>
      </c>
      <c r="E30">
        <f>B28</f>
        <v>0.31381936795419535</v>
      </c>
      <c r="S30" s="4"/>
    </row>
    <row r="31" spans="1:22" x14ac:dyDescent="0.25">
      <c r="A31">
        <v>48.122675279387479</v>
      </c>
      <c r="B31">
        <v>0.67844208424888097</v>
      </c>
      <c r="D31" t="s">
        <v>14</v>
      </c>
      <c r="E31">
        <f>A29</f>
        <v>0.98609781658904372</v>
      </c>
      <c r="S31" s="4"/>
    </row>
    <row r="34" spans="1:8" x14ac:dyDescent="0.25">
      <c r="A34" t="s">
        <v>15</v>
      </c>
    </row>
    <row r="36" spans="1:8" x14ac:dyDescent="0.25">
      <c r="A36" t="e" cm="1">
        <f t="array" ref="A36">LINEST(B20:E20,B19:E19^{1,2},TRUE,TRUE)</f>
        <v>#VALUE!</v>
      </c>
    </row>
    <row r="40" spans="1:8" x14ac:dyDescent="0.25">
      <c r="G40" t="s">
        <v>10</v>
      </c>
    </row>
    <row r="41" spans="1:8" x14ac:dyDescent="0.25">
      <c r="G41" t="s">
        <v>11</v>
      </c>
      <c r="H41" t="e">
        <f>A36</f>
        <v>#VALUE!</v>
      </c>
    </row>
    <row r="42" spans="1:8" x14ac:dyDescent="0.25">
      <c r="G42" t="s">
        <v>12</v>
      </c>
      <c r="H42">
        <f>B36</f>
        <v>0</v>
      </c>
    </row>
    <row r="43" spans="1:8" x14ac:dyDescent="0.25">
      <c r="G43" t="s">
        <v>13</v>
      </c>
      <c r="H43">
        <f>B37</f>
        <v>0</v>
      </c>
    </row>
    <row r="44" spans="1:8" x14ac:dyDescent="0.25">
      <c r="G44" t="s">
        <v>14</v>
      </c>
      <c r="H44">
        <f>A38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23C7-E408-494A-81EA-4C836A5D36D4}">
  <dimension ref="A1:E5"/>
  <sheetViews>
    <sheetView tabSelected="1" workbookViewId="0">
      <selection activeCell="D12" sqref="D12"/>
    </sheetView>
  </sheetViews>
  <sheetFormatPr defaultRowHeight="15" x14ac:dyDescent="0.25"/>
  <cols>
    <col min="1" max="1" width="17.5703125" bestFit="1" customWidth="1"/>
  </cols>
  <sheetData>
    <row r="1" spans="1:5" x14ac:dyDescent="0.25">
      <c r="A1" t="s">
        <v>16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2</v>
      </c>
      <c r="B2" s="7">
        <v>-196</v>
      </c>
      <c r="C2">
        <v>-5.4369090909090909</v>
      </c>
      <c r="D2">
        <v>3.2024009587848956E-2</v>
      </c>
      <c r="E2">
        <v>2.1514022377979374E-2</v>
      </c>
    </row>
    <row r="3" spans="1:5" x14ac:dyDescent="0.25">
      <c r="A3" t="s">
        <v>1</v>
      </c>
      <c r="B3" s="7">
        <v>-78</v>
      </c>
      <c r="C3">
        <v>-2.3914545454545451</v>
      </c>
      <c r="D3">
        <v>0.14757455042751874</v>
      </c>
      <c r="E3">
        <v>9.9141931981014703E-2</v>
      </c>
    </row>
    <row r="4" spans="1:5" x14ac:dyDescent="0.25">
      <c r="A4" t="s">
        <v>3</v>
      </c>
      <c r="B4" s="7">
        <v>0</v>
      </c>
      <c r="C4">
        <v>9.5454545454545462E-3</v>
      </c>
      <c r="D4">
        <v>1.5161935810465007E-2</v>
      </c>
      <c r="E4">
        <v>1.0185927075277939E-2</v>
      </c>
    </row>
    <row r="5" spans="1:5" x14ac:dyDescent="0.25">
      <c r="A5" t="s">
        <v>0</v>
      </c>
      <c r="B5" s="7">
        <v>100</v>
      </c>
      <c r="C5">
        <v>4.1168181818181813</v>
      </c>
      <c r="D5">
        <v>3.8453793244308587E-2</v>
      </c>
      <c r="E5">
        <v>2.583360981412372E-2</v>
      </c>
    </row>
  </sheetData>
  <sortState xmlns:xlrd2="http://schemas.microsoft.com/office/spreadsheetml/2017/richdata2" ref="A2:E5">
    <sortCondition ref="B2:B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Pellizzeri</dc:creator>
  <cp:lastModifiedBy>Steven Pellizzeri</cp:lastModifiedBy>
  <dcterms:created xsi:type="dcterms:W3CDTF">2015-06-05T18:17:20Z</dcterms:created>
  <dcterms:modified xsi:type="dcterms:W3CDTF">2024-01-07T22:35:55Z</dcterms:modified>
</cp:coreProperties>
</file>