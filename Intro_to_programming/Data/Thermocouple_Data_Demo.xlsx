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pmaileiu-my.sharepoint.com/personal/spellizzeri_eiu_edu/Documents/EIU_CLASS_MATERIALS/CHM3915/3915 - SP24 - Pellizzeri/Intro_to_programing/"/>
    </mc:Choice>
  </mc:AlternateContent>
  <xr:revisionPtr revIDLastSave="102" documentId="11_F25DC773A252ABDACC1048D0219A47E05BDE58F2" xr6:coauthVersionLast="47" xr6:coauthVersionMax="47" xr10:uidLastSave="{F0815592-851F-4B4C-95DD-E87DFC9D204C}"/>
  <bookViews>
    <workbookView xWindow="-110" yWindow="-110" windowWidth="38620" windowHeight="211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" l="1" a="1"/>
  <c r="A22" i="1" s="1"/>
  <c r="H16" i="1"/>
  <c r="H17" i="1" s="1"/>
  <c r="G16" i="1"/>
  <c r="G17" i="1" s="1"/>
  <c r="F16" i="1"/>
  <c r="F17" i="1" s="1"/>
  <c r="E16" i="1"/>
  <c r="E17" i="1" s="1"/>
  <c r="D16" i="1"/>
  <c r="D17" i="1" s="1"/>
  <c r="C16" i="1"/>
  <c r="C17" i="1" s="1"/>
  <c r="B16" i="1"/>
  <c r="B17" i="1" s="1"/>
  <c r="H15" i="1"/>
  <c r="G15" i="1"/>
  <c r="F15" i="1"/>
  <c r="E15" i="1"/>
  <c r="D15" i="1"/>
  <c r="C15" i="1"/>
  <c r="B15" i="1"/>
  <c r="E21" i="1" l="1"/>
  <c r="E24" i="1"/>
  <c r="E23" i="1"/>
  <c r="E2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<sst xmlns="http://schemas.openxmlformats.org/spreadsheetml/2006/main" count="30" uniqueCount="19">
  <si>
    <t>emf BW/IW (mV)</t>
  </si>
  <si>
    <t>emf IW/CO2 (mV)</t>
  </si>
  <si>
    <t>emf BW/N2 (mV)</t>
  </si>
  <si>
    <t>emf BW/CO2 (mV)</t>
  </si>
  <si>
    <t>emf IW/N2 (mV)</t>
  </si>
  <si>
    <t>emf CO2/N2 (mV)</t>
  </si>
  <si>
    <t>emf IW/IW (mV)</t>
  </si>
  <si>
    <t>Run</t>
  </si>
  <si>
    <t>Delta T</t>
  </si>
  <si>
    <t>mean</t>
  </si>
  <si>
    <t>std</t>
  </si>
  <si>
    <t>95% conf</t>
  </si>
  <si>
    <t>Sample</t>
  </si>
  <si>
    <t>## Linear Fit</t>
  </si>
  <si>
    <t>slope</t>
  </si>
  <si>
    <t>fit</t>
  </si>
  <si>
    <t>intercept</t>
  </si>
  <si>
    <t>S_fit</t>
  </si>
  <si>
    <t>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</si>
</sst>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A23" sqref="A23"/>
    </sheetView>
  </sheetViews>
  <sheetFormatPr defaultRowHeight="14.5" x14ac:dyDescent="0.35"/>
  <cols>
    <col min="1" max="1" width="17.54296875" bestFit="1" customWidth="1"/>
    <col min="2" max="2" width="16.26953125" bestFit="1" customWidth="1"/>
  </cols>
  <sheetData>
    <row r="1" spans="1:8" x14ac:dyDescent="0.3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1</v>
      </c>
      <c r="B2">
        <v>4.1689999999999996</v>
      </c>
      <c r="C2">
        <v>2.2589999999999999</v>
      </c>
      <c r="D2">
        <v>9.7159999999999993</v>
      </c>
      <c r="E2">
        <v>6.4969999999999999</v>
      </c>
      <c r="F2">
        <v>5.4619999999999997</v>
      </c>
      <c r="G2">
        <v>3.1819999999999999</v>
      </c>
      <c r="H2">
        <v>6.0000000000000001E-3</v>
      </c>
    </row>
    <row r="3" spans="1:8" x14ac:dyDescent="0.35">
      <c r="A3">
        <v>2</v>
      </c>
      <c r="B3">
        <v>4.2240000000000002</v>
      </c>
      <c r="C3">
        <v>2.27</v>
      </c>
      <c r="D3">
        <v>9.6850000000000005</v>
      </c>
      <c r="E3">
        <v>6.5919999999999996</v>
      </c>
      <c r="F3">
        <v>5.4320000000000004</v>
      </c>
      <c r="G3">
        <v>3.1949999999999998</v>
      </c>
      <c r="H3">
        <v>7.0000000000000001E-3</v>
      </c>
    </row>
    <row r="4" spans="1:8" x14ac:dyDescent="0.35">
      <c r="A4">
        <v>3</v>
      </c>
      <c r="B4">
        <v>4.2249999999999996</v>
      </c>
      <c r="C4">
        <v>2.2610000000000001</v>
      </c>
      <c r="D4">
        <v>9.7270000000000003</v>
      </c>
      <c r="E4">
        <v>6.5860000000000003</v>
      </c>
      <c r="F4">
        <v>5.4550000000000001</v>
      </c>
      <c r="G4">
        <v>3.1760000000000002</v>
      </c>
      <c r="H4">
        <v>6.0000000000000001E-3</v>
      </c>
    </row>
    <row r="5" spans="1:8" x14ac:dyDescent="0.35">
      <c r="A5">
        <v>4</v>
      </c>
      <c r="B5">
        <v>4.2510000000000003</v>
      </c>
      <c r="C5">
        <v>2.2599999999999998</v>
      </c>
      <c r="D5">
        <v>9.6839999999999993</v>
      </c>
      <c r="E5">
        <v>6.5670000000000002</v>
      </c>
      <c r="F5">
        <v>5.4329999999999998</v>
      </c>
      <c r="G5">
        <v>3.1760000000000002</v>
      </c>
      <c r="H5">
        <v>8.9999999999999993E-3</v>
      </c>
    </row>
    <row r="6" spans="1:8" x14ac:dyDescent="0.35">
      <c r="A6">
        <v>5</v>
      </c>
      <c r="B6">
        <v>4.2560000000000002</v>
      </c>
      <c r="C6">
        <v>2.2530000000000001</v>
      </c>
      <c r="D6">
        <v>9.6950000000000003</v>
      </c>
      <c r="E6">
        <v>6.5640000000000001</v>
      </c>
      <c r="F6">
        <v>5.4560000000000004</v>
      </c>
      <c r="G6">
        <v>3.1789999999999998</v>
      </c>
      <c r="H6">
        <v>7.0000000000000001E-3</v>
      </c>
    </row>
    <row r="7" spans="1:8" x14ac:dyDescent="0.35">
      <c r="A7">
        <v>6</v>
      </c>
      <c r="B7">
        <v>4.2439999999999998</v>
      </c>
      <c r="C7">
        <v>2.2559999999999998</v>
      </c>
      <c r="D7">
        <v>9.6769999999999996</v>
      </c>
      <c r="E7">
        <v>6.5570000000000004</v>
      </c>
      <c r="F7">
        <v>5.4340000000000002</v>
      </c>
      <c r="G7">
        <v>3.0979999999999999</v>
      </c>
      <c r="H7">
        <v>8.9999999999999993E-3</v>
      </c>
    </row>
    <row r="8" spans="1:8" x14ac:dyDescent="0.35">
      <c r="A8">
        <v>7</v>
      </c>
      <c r="B8">
        <v>4.2450000000000001</v>
      </c>
      <c r="C8">
        <v>2.2549999999999999</v>
      </c>
      <c r="D8">
        <v>9.7029999999999994</v>
      </c>
      <c r="E8">
        <v>6.5529999999999999</v>
      </c>
      <c r="F8">
        <v>5.4580000000000002</v>
      </c>
      <c r="G8">
        <v>3.1160000000000001</v>
      </c>
      <c r="H8">
        <v>8.9999999999999993E-3</v>
      </c>
    </row>
    <row r="9" spans="1:8" x14ac:dyDescent="0.35">
      <c r="A9">
        <v>8</v>
      </c>
      <c r="B9">
        <v>4.26</v>
      </c>
      <c r="C9">
        <v>2.282</v>
      </c>
      <c r="D9">
        <v>9.6820000000000004</v>
      </c>
      <c r="E9">
        <v>6.5469999999999997</v>
      </c>
      <c r="F9">
        <v>5.4660000000000002</v>
      </c>
      <c r="G9">
        <v>3.1160000000000001</v>
      </c>
      <c r="H9">
        <v>8.0000000000000002E-3</v>
      </c>
    </row>
    <row r="10" spans="1:8" x14ac:dyDescent="0.35">
      <c r="A10">
        <v>9</v>
      </c>
      <c r="B10">
        <v>4.2359999999999998</v>
      </c>
      <c r="C10">
        <v>2.2759999999999998</v>
      </c>
      <c r="D10">
        <v>9.6880000000000006</v>
      </c>
      <c r="E10">
        <v>6.5410000000000004</v>
      </c>
      <c r="F10">
        <v>5.4610000000000003</v>
      </c>
      <c r="G10">
        <v>3.1219999999999999</v>
      </c>
      <c r="H10">
        <v>8.9999999999999993E-3</v>
      </c>
    </row>
    <row r="11" spans="1:8" x14ac:dyDescent="0.35">
      <c r="A11">
        <v>10</v>
      </c>
      <c r="B11">
        <v>4.2510000000000003</v>
      </c>
      <c r="C11">
        <v>2.2789999999999999</v>
      </c>
      <c r="D11">
        <v>9.6769999999999996</v>
      </c>
      <c r="E11">
        <v>6.5380000000000003</v>
      </c>
      <c r="F11">
        <v>5.431</v>
      </c>
      <c r="G11">
        <v>3.121</v>
      </c>
      <c r="H11">
        <v>8.0000000000000002E-3</v>
      </c>
    </row>
    <row r="12" spans="1:8" x14ac:dyDescent="0.35">
      <c r="A12">
        <v>11</v>
      </c>
      <c r="B12">
        <v>4.242</v>
      </c>
      <c r="C12">
        <v>2.2749999999999999</v>
      </c>
      <c r="D12">
        <v>9.68</v>
      </c>
      <c r="E12">
        <v>6.5439999999999996</v>
      </c>
      <c r="F12">
        <v>5.4580000000000002</v>
      </c>
      <c r="G12">
        <v>3.1259999999999999</v>
      </c>
      <c r="H12">
        <v>1.2E-2</v>
      </c>
    </row>
    <row r="13" spans="1:8" x14ac:dyDescent="0.35">
      <c r="A13">
        <v>12</v>
      </c>
      <c r="B13">
        <v>4.2670000000000003</v>
      </c>
      <c r="C13">
        <v>2.2810000000000001</v>
      </c>
      <c r="D13">
        <v>9.6760000000000002</v>
      </c>
      <c r="E13">
        <v>6.5350000000000001</v>
      </c>
      <c r="F13">
        <v>5.4340000000000002</v>
      </c>
      <c r="G13">
        <v>3.11</v>
      </c>
      <c r="H13">
        <v>1.9E-2</v>
      </c>
    </row>
    <row r="14" spans="1:8" x14ac:dyDescent="0.35">
      <c r="A14" t="s">
        <v>8</v>
      </c>
      <c r="B14">
        <v>100</v>
      </c>
      <c r="C14">
        <v>78</v>
      </c>
      <c r="D14">
        <v>296</v>
      </c>
      <c r="E14">
        <v>178</v>
      </c>
      <c r="F14">
        <v>196</v>
      </c>
      <c r="G14">
        <v>118</v>
      </c>
      <c r="H14">
        <v>0</v>
      </c>
    </row>
    <row r="15" spans="1:8" x14ac:dyDescent="0.35">
      <c r="A15" t="s">
        <v>9</v>
      </c>
      <c r="B15">
        <f t="shared" ref="B15:H15" si="0">AVERAGE(B2:B13)</f>
        <v>4.2391666666666667</v>
      </c>
      <c r="C15">
        <f t="shared" si="0"/>
        <v>2.2672499999999998</v>
      </c>
      <c r="D15">
        <f t="shared" si="0"/>
        <v>9.6908333333333339</v>
      </c>
      <c r="E15">
        <f t="shared" si="0"/>
        <v>6.5517499999999984</v>
      </c>
      <c r="F15">
        <f t="shared" si="0"/>
        <v>5.4483333333333333</v>
      </c>
      <c r="G15">
        <f t="shared" si="0"/>
        <v>3.1430833333333332</v>
      </c>
      <c r="H15">
        <f t="shared" si="0"/>
        <v>9.0833333333333339E-3</v>
      </c>
    </row>
    <row r="16" spans="1:8" x14ac:dyDescent="0.35">
      <c r="A16" t="s">
        <v>10</v>
      </c>
      <c r="B16">
        <f t="shared" ref="B16:H16" si="1">_xlfn.STDEV.P(B2:B13)</f>
        <v>2.4497732321357761E-2</v>
      </c>
      <c r="C16">
        <f t="shared" si="1"/>
        <v>1.0520812706250427E-2</v>
      </c>
      <c r="D16">
        <f t="shared" si="1"/>
        <v>1.5794689684264823E-2</v>
      </c>
      <c r="E16">
        <f t="shared" si="1"/>
        <v>2.3927407576528923E-2</v>
      </c>
      <c r="F16">
        <f t="shared" si="1"/>
        <v>1.3424687043734855E-2</v>
      </c>
      <c r="G16">
        <f t="shared" si="1"/>
        <v>3.3522277004337811E-2</v>
      </c>
      <c r="H16">
        <f t="shared" si="1"/>
        <v>3.3778280332518707E-3</v>
      </c>
    </row>
    <row r="17" spans="1:8" x14ac:dyDescent="0.35">
      <c r="A17" t="s">
        <v>11</v>
      </c>
      <c r="B17">
        <f t="shared" ref="B17:H17" si="2">_xlfn.CONFIDENCE.T(0.05,B16,COUNT(B2:B13))</f>
        <v>1.5565116525330783E-2</v>
      </c>
      <c r="C17">
        <f t="shared" si="2"/>
        <v>6.6846054796345531E-3</v>
      </c>
      <c r="D17">
        <f t="shared" si="2"/>
        <v>1.0035467046175818E-2</v>
      </c>
      <c r="E17">
        <f t="shared" si="2"/>
        <v>1.5202749470531957E-2</v>
      </c>
      <c r="F17">
        <f t="shared" si="2"/>
        <v>8.5296392094895025E-3</v>
      </c>
      <c r="G17">
        <f t="shared" si="2"/>
        <v>2.1299038658857201E-2</v>
      </c>
      <c r="H17">
        <f t="shared" si="2"/>
        <v>2.1461695413439101E-3</v>
      </c>
    </row>
    <row r="20" spans="1:8" x14ac:dyDescent="0.35">
      <c r="A20" t="s">
        <v>13</v>
      </c>
      <c r="D20" t="s">
        <v>15</v>
      </c>
    </row>
    <row r="21" spans="1:8" x14ac:dyDescent="0.35">
      <c r="D21" t="s">
        <v>14</v>
      </c>
      <c r="E21">
        <f>A22</f>
        <v>3.2122656939135553E-2</v>
      </c>
    </row>
    <row r="22" spans="1:8" x14ac:dyDescent="0.35">
      <c r="A22" cm="1">
        <f t="array" ref="A22:B26">LINEST(B15:H15,B14:H14,TRUE,TRUE)</f>
        <v>3.2122656939135553E-2</v>
      </c>
      <c r="B22">
        <v>4.5573342399293004E-2</v>
      </c>
      <c r="D22" t="s">
        <v>16</v>
      </c>
      <c r="E22">
        <f>B22</f>
        <v>4.5573342399293004E-2</v>
      </c>
    </row>
    <row r="23" spans="1:8" x14ac:dyDescent="0.35">
      <c r="A23">
        <v>3.3002055825359167E-3</v>
      </c>
      <c r="B23">
        <v>0.54044546179919528</v>
      </c>
      <c r="D23" t="s">
        <v>17</v>
      </c>
      <c r="E23">
        <f>B23</f>
        <v>0.54044546179919528</v>
      </c>
    </row>
    <row r="24" spans="1:8" x14ac:dyDescent="0.35">
      <c r="A24">
        <v>0.94987048887143977</v>
      </c>
      <c r="B24">
        <v>0.76984678759027036</v>
      </c>
      <c r="D24" t="s">
        <v>18</v>
      </c>
      <c r="E24">
        <f>A24</f>
        <v>0.94987048887143977</v>
      </c>
    </row>
    <row r="25" spans="1:8" x14ac:dyDescent="0.35">
      <c r="A25">
        <v>94.741646934820224</v>
      </c>
      <c r="B25">
        <v>5</v>
      </c>
    </row>
    <row r="26" spans="1:8" x14ac:dyDescent="0.35">
      <c r="A26">
        <v>56.149970673740256</v>
      </c>
      <c r="B26">
        <v>2.9633203818152944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23C7-E408-494A-81EA-4C836A5D36D4}">
  <dimension ref="A1:E8"/>
  <sheetViews>
    <sheetView workbookViewId="0">
      <selection activeCell="F17" sqref="F17"/>
    </sheetView>
  </sheetViews>
  <sheetFormatPr defaultRowHeight="14.5" x14ac:dyDescent="0.35"/>
  <cols>
    <col min="1" max="1" width="17.54296875" bestFit="1" customWidth="1"/>
  </cols>
  <sheetData>
    <row r="1" spans="1:5" x14ac:dyDescent="0.35">
      <c r="A1" t="s">
        <v>12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 t="s">
        <v>0</v>
      </c>
      <c r="B2">
        <v>100</v>
      </c>
      <c r="C2">
        <v>4.2391666666666667</v>
      </c>
      <c r="D2">
        <v>2.4497732321357761E-2</v>
      </c>
      <c r="E2">
        <v>1.5565116525330783E-2</v>
      </c>
    </row>
    <row r="3" spans="1:5" x14ac:dyDescent="0.35">
      <c r="A3" t="s">
        <v>1</v>
      </c>
      <c r="B3">
        <v>78</v>
      </c>
      <c r="C3">
        <v>2.2672499999999998</v>
      </c>
      <c r="D3">
        <v>1.0520812706250427E-2</v>
      </c>
      <c r="E3">
        <v>6.6846054796345531E-3</v>
      </c>
    </row>
    <row r="4" spans="1:5" x14ac:dyDescent="0.35">
      <c r="A4" t="s">
        <v>2</v>
      </c>
      <c r="B4">
        <v>296</v>
      </c>
      <c r="C4">
        <v>9.6908333333333339</v>
      </c>
      <c r="D4">
        <v>1.5794689684264823E-2</v>
      </c>
      <c r="E4">
        <v>1.0035467046175818E-2</v>
      </c>
    </row>
    <row r="5" spans="1:5" x14ac:dyDescent="0.35">
      <c r="A5" t="s">
        <v>3</v>
      </c>
      <c r="B5">
        <v>178</v>
      </c>
      <c r="C5">
        <v>6.5517499999999984</v>
      </c>
      <c r="D5">
        <v>2.3927407576528923E-2</v>
      </c>
      <c r="E5">
        <v>1.5202749470531957E-2</v>
      </c>
    </row>
    <row r="6" spans="1:5" x14ac:dyDescent="0.35">
      <c r="A6" t="s">
        <v>4</v>
      </c>
      <c r="B6">
        <v>196</v>
      </c>
      <c r="C6">
        <v>5.4483333333333333</v>
      </c>
      <c r="D6">
        <v>1.3424687043734855E-2</v>
      </c>
      <c r="E6">
        <v>8.5296392094895025E-3</v>
      </c>
    </row>
    <row r="7" spans="1:5" x14ac:dyDescent="0.35">
      <c r="A7" t="s">
        <v>5</v>
      </c>
      <c r="B7">
        <v>118</v>
      </c>
      <c r="C7">
        <v>3.1430833333333332</v>
      </c>
      <c r="D7">
        <v>3.3522277004337811E-2</v>
      </c>
      <c r="E7">
        <v>2.1299038658857201E-2</v>
      </c>
    </row>
    <row r="8" spans="1:5" x14ac:dyDescent="0.35">
      <c r="A8" t="s">
        <v>6</v>
      </c>
      <c r="B8">
        <v>0</v>
      </c>
      <c r="C8">
        <v>9.0833333333333339E-3</v>
      </c>
      <c r="D8">
        <v>3.3778280332518707E-3</v>
      </c>
      <c r="E8">
        <v>2.1461695413439101E-3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Pellizzeri</dc:creator>
  <cp:lastModifiedBy>Steven Pellizzeri</cp:lastModifiedBy>
  <dcterms:created xsi:type="dcterms:W3CDTF">2015-06-05T18:17:20Z</dcterms:created>
  <dcterms:modified xsi:type="dcterms:W3CDTF">2024-01-08T15:31:47Z</dcterms:modified>
</cp:coreProperties>
</file>