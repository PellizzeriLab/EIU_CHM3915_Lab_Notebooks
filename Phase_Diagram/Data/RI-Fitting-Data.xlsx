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maileiu-my.sharepoint.com/personal/spellizzeri_eiu_edu/Documents/EIU_CLASS_MATERIALS/CHM3915/3915 - SP26 - Pellizzeri/Phase Diagram/"/>
    </mc:Choice>
  </mc:AlternateContent>
  <xr:revisionPtr revIDLastSave="18" documentId="8_{9368586B-3B7A-4A8E-9C76-7ECF79465B7B}" xr6:coauthVersionLast="47" xr6:coauthVersionMax="47" xr10:uidLastSave="{39C6C067-B0B0-4FB4-A4A1-F27B889AE7BA}"/>
  <bookViews>
    <workbookView xWindow="-110" yWindow="-110" windowWidth="38620" windowHeight="21100" xr2:uid="{1853EA51-D2D5-4846-BDE6-FB14DDE47469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" i="1" l="1"/>
  <c r="Q29" i="1" s="1"/>
  <c r="H29" i="1"/>
  <c r="C29" i="1"/>
  <c r="E29" i="1" s="1"/>
  <c r="I28" i="1"/>
  <c r="Q28" i="1" s="1"/>
  <c r="H28" i="1"/>
  <c r="C28" i="1"/>
  <c r="G28" i="1" s="1"/>
  <c r="I27" i="1"/>
  <c r="Q27" i="1" s="1"/>
  <c r="H27" i="1"/>
  <c r="C27" i="1"/>
  <c r="G27" i="1" s="1"/>
  <c r="I26" i="1"/>
  <c r="Q26" i="1" s="1"/>
  <c r="H26" i="1"/>
  <c r="C26" i="1"/>
  <c r="E26" i="1" s="1"/>
  <c r="I25" i="1"/>
  <c r="Q25" i="1" s="1"/>
  <c r="H25" i="1"/>
  <c r="C25" i="1"/>
  <c r="E25" i="1" s="1"/>
  <c r="I24" i="1"/>
  <c r="Q24" i="1" s="1"/>
  <c r="H24" i="1"/>
  <c r="C24" i="1"/>
  <c r="F24" i="1" s="1"/>
  <c r="I23" i="1"/>
  <c r="Q23" i="1" s="1"/>
  <c r="H23" i="1"/>
  <c r="C23" i="1"/>
  <c r="G23" i="1" s="1"/>
  <c r="I22" i="1"/>
  <c r="Q22" i="1" s="1"/>
  <c r="H22" i="1"/>
  <c r="C22" i="1"/>
  <c r="D22" i="1" s="1"/>
  <c r="I21" i="1"/>
  <c r="Q21" i="1" s="1"/>
  <c r="H21" i="1"/>
  <c r="C21" i="1"/>
  <c r="E21" i="1" s="1"/>
  <c r="I20" i="1"/>
  <c r="Q20" i="1" s="1"/>
  <c r="H20" i="1"/>
  <c r="C20" i="1"/>
  <c r="D20" i="1" s="1"/>
  <c r="I19" i="1"/>
  <c r="Q19" i="1" s="1"/>
  <c r="H19" i="1"/>
  <c r="C19" i="1"/>
  <c r="G19" i="1" s="1"/>
  <c r="I18" i="1"/>
  <c r="Q18" i="1" s="1"/>
  <c r="H18" i="1"/>
  <c r="C18" i="1"/>
  <c r="E18" i="1" s="1"/>
  <c r="I17" i="1"/>
  <c r="Q17" i="1" s="1"/>
  <c r="H17" i="1"/>
  <c r="C17" i="1"/>
  <c r="F17" i="1" s="1"/>
  <c r="I16" i="1"/>
  <c r="Q16" i="1" s="1"/>
  <c r="H16" i="1"/>
  <c r="C16" i="1"/>
  <c r="G16" i="1" s="1"/>
  <c r="I15" i="1"/>
  <c r="Q15" i="1" s="1"/>
  <c r="H15" i="1"/>
  <c r="C15" i="1"/>
  <c r="G15" i="1" s="1"/>
  <c r="I14" i="1"/>
  <c r="Q14" i="1" s="1"/>
  <c r="H14" i="1"/>
  <c r="C14" i="1"/>
  <c r="D14" i="1" s="1"/>
  <c r="I13" i="1"/>
  <c r="Q13" i="1" s="1"/>
  <c r="H13" i="1"/>
  <c r="C13" i="1"/>
  <c r="E13" i="1" s="1"/>
  <c r="I12" i="1"/>
  <c r="Q12" i="1" s="1"/>
  <c r="H12" i="1"/>
  <c r="C12" i="1"/>
  <c r="G12" i="1" s="1"/>
  <c r="I11" i="1"/>
  <c r="Q11" i="1" s="1"/>
  <c r="H11" i="1"/>
  <c r="C11" i="1"/>
  <c r="G11" i="1" s="1"/>
  <c r="I10" i="1"/>
  <c r="Q10" i="1" s="1"/>
  <c r="H10" i="1"/>
  <c r="C10" i="1"/>
  <c r="G10" i="1" s="1"/>
  <c r="I9" i="1"/>
  <c r="Q9" i="1" s="1"/>
  <c r="H9" i="1"/>
  <c r="C9" i="1"/>
  <c r="D9" i="1" s="1"/>
  <c r="I8" i="1"/>
  <c r="Q8" i="1" s="1"/>
  <c r="H8" i="1"/>
  <c r="C8" i="1"/>
  <c r="G8" i="1" s="1"/>
  <c r="I7" i="1"/>
  <c r="Q7" i="1" s="1"/>
  <c r="H7" i="1"/>
  <c r="C7" i="1"/>
  <c r="F7" i="1" s="1"/>
  <c r="I6" i="1"/>
  <c r="Q6" i="1" s="1"/>
  <c r="H6" i="1"/>
  <c r="C6" i="1"/>
  <c r="G6" i="1" s="1"/>
  <c r="I5" i="1"/>
  <c r="H5" i="1"/>
  <c r="C5" i="1"/>
  <c r="G5" i="1" s="1"/>
  <c r="I4" i="1"/>
  <c r="Q4" i="1" s="1"/>
  <c r="H4" i="1"/>
  <c r="C4" i="1"/>
  <c r="E4" i="1" s="1"/>
  <c r="I3" i="1"/>
  <c r="Q3" i="1" s="1"/>
  <c r="H3" i="1"/>
  <c r="C3" i="1"/>
  <c r="G3" i="1" s="1"/>
  <c r="I2" i="1"/>
  <c r="H2" i="1"/>
  <c r="C2" i="1"/>
  <c r="E2" i="1" s="1"/>
  <c r="G7" i="1" l="1"/>
  <c r="T4" i="1" a="1"/>
  <c r="T4" i="1" s="1"/>
  <c r="E20" i="1"/>
  <c r="E28" i="1"/>
  <c r="E7" i="1"/>
  <c r="D16" i="1"/>
  <c r="E16" i="1"/>
  <c r="F16" i="1"/>
  <c r="D24" i="1"/>
  <c r="E24" i="1"/>
  <c r="F2" i="1"/>
  <c r="G24" i="1"/>
  <c r="F12" i="1"/>
  <c r="F20" i="1"/>
  <c r="D28" i="1"/>
  <c r="G20" i="1"/>
  <c r="F28" i="1"/>
  <c r="D7" i="1"/>
  <c r="G2" i="1"/>
  <c r="D10" i="1"/>
  <c r="E10" i="1"/>
  <c r="F10" i="1"/>
  <c r="D12" i="1"/>
  <c r="E12" i="1"/>
  <c r="D26" i="1"/>
  <c r="E14" i="1"/>
  <c r="E22" i="1"/>
  <c r="F14" i="1"/>
  <c r="F18" i="1"/>
  <c r="F22" i="1"/>
  <c r="F26" i="1"/>
  <c r="F4" i="1"/>
  <c r="G14" i="1"/>
  <c r="G18" i="1"/>
  <c r="G22" i="1"/>
  <c r="G26" i="1"/>
  <c r="G4" i="1"/>
  <c r="T5" i="1" a="1"/>
  <c r="T5" i="1" s="1"/>
  <c r="T6" i="1" s="1"/>
  <c r="T8" i="1"/>
  <c r="D11" i="1"/>
  <c r="D15" i="1"/>
  <c r="D19" i="1"/>
  <c r="D23" i="1"/>
  <c r="D27" i="1"/>
  <c r="E11" i="1"/>
  <c r="E15" i="1"/>
  <c r="E19" i="1"/>
  <c r="E23" i="1"/>
  <c r="E27" i="1"/>
  <c r="D8" i="1"/>
  <c r="F11" i="1"/>
  <c r="F15" i="1"/>
  <c r="F19" i="1"/>
  <c r="F23" i="1"/>
  <c r="F27" i="1"/>
  <c r="D5" i="1"/>
  <c r="E8" i="1"/>
  <c r="T2" i="1"/>
  <c r="E5" i="1"/>
  <c r="F8" i="1"/>
  <c r="F5" i="1"/>
  <c r="D2" i="1"/>
  <c r="D4" i="1"/>
  <c r="Q5" i="1"/>
  <c r="D6" i="1"/>
  <c r="E6" i="1"/>
  <c r="D3" i="1"/>
  <c r="G9" i="1"/>
  <c r="E3" i="1"/>
  <c r="F25" i="1"/>
  <c r="Q2" i="1"/>
  <c r="T9" i="1" s="1" a="1"/>
  <c r="T9" i="1" s="1"/>
  <c r="T3" i="1"/>
  <c r="E9" i="1"/>
  <c r="F9" i="1"/>
  <c r="F13" i="1"/>
  <c r="F21" i="1"/>
  <c r="F29" i="1"/>
  <c r="G13" i="1"/>
  <c r="G17" i="1"/>
  <c r="G21" i="1"/>
  <c r="G25" i="1"/>
  <c r="G29" i="1"/>
  <c r="T7" i="1"/>
  <c r="D18" i="1"/>
  <c r="F6" i="1"/>
  <c r="D13" i="1"/>
  <c r="D17" i="1"/>
  <c r="D21" i="1"/>
  <c r="D25" i="1"/>
  <c r="D29" i="1"/>
  <c r="F3" i="1"/>
  <c r="E1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<sst xmlns="http://schemas.openxmlformats.org/spreadsheetml/2006/main" count="38" uniqueCount="30">
  <si>
    <t>Mole Fraction</t>
  </si>
  <si>
    <t>Average</t>
  </si>
  <si>
    <t>Φ0</t>
  </si>
  <si>
    <t>Φ1</t>
  </si>
  <si>
    <t>Φ2</t>
  </si>
  <si>
    <t>Φ3</t>
  </si>
  <si>
    <t>Φ4</t>
  </si>
  <si>
    <t>adjusted Y</t>
  </si>
  <si>
    <t>predicted Y</t>
  </si>
  <si>
    <t>Residuals</t>
  </si>
  <si>
    <t>SSE</t>
  </si>
  <si>
    <t>RMSE</t>
  </si>
  <si>
    <t>MAE</t>
  </si>
  <si>
    <t>R^2</t>
  </si>
  <si>
    <t>Adj R^2</t>
  </si>
  <si>
    <t>AIC</t>
  </si>
  <si>
    <t>BIC</t>
  </si>
  <si>
    <t>Durbin-Watson</t>
  </si>
  <si>
    <t>1st</t>
  </si>
  <si>
    <t>2nd</t>
  </si>
  <si>
    <t>3rd</t>
  </si>
  <si>
    <t>4th</t>
  </si>
  <si>
    <t>5th</t>
  </si>
  <si>
    <t>c0</t>
  </si>
  <si>
    <t>c1</t>
  </si>
  <si>
    <t>c2</t>
  </si>
  <si>
    <t>c3</t>
  </si>
  <si>
    <t>c4</t>
  </si>
  <si>
    <t>RI Pure Cy</t>
  </si>
  <si>
    <t>RI Pure 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</si>
</sst>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sz val="7"/>
      <color theme="1"/>
      <name val="Segoe UI"/>
      <family val="2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maileiu-my.sharepoint.com/personal/spellizzeri_eiu_edu/Documents/EIU_CLASS_MATERIALS/CHM3915/3915%20-%20SP26%20-%20Pellizzeri/Phase%20Diagram/RI_testing.xlsx" TargetMode="External"/><Relationship Id="rId1" Type="http://schemas.openxmlformats.org/officeDocument/2006/relationships/externalLinkPath" Target="RI_test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heet3"/>
      <sheetName val="Sheet3 (2)"/>
    </sheetNames>
    <sheetDataSet>
      <sheetData sheetId="0"/>
      <sheetData sheetId="1"/>
      <sheetData sheetId="2">
        <row r="1">
          <cell r="B1" t="str">
            <v>Average</v>
          </cell>
          <cell r="I1" t="str">
            <v>predicted Y</v>
          </cell>
        </row>
        <row r="2">
          <cell r="A2">
            <v>1</v>
          </cell>
          <cell r="B2">
            <v>1.4235</v>
          </cell>
          <cell r="I2">
            <v>1.4235</v>
          </cell>
        </row>
        <row r="3">
          <cell r="A3">
            <v>0.9543951871292462</v>
          </cell>
          <cell r="B3">
            <v>1.4170055935897734</v>
          </cell>
          <cell r="I3">
            <v>1.4191521815433457</v>
          </cell>
        </row>
        <row r="4">
          <cell r="A4">
            <v>0.91067802812086807</v>
          </cell>
          <cell r="B4">
            <v>1.418533874512901</v>
          </cell>
          <cell r="I4">
            <v>1.4166305611762704</v>
          </cell>
        </row>
        <row r="5">
          <cell r="A5">
            <v>0.86873369994933891</v>
          </cell>
          <cell r="B5">
            <v>1.4144506718615129</v>
          </cell>
          <cell r="I5">
            <v>1.4150378519444922</v>
          </cell>
        </row>
        <row r="6">
          <cell r="A6">
            <v>0.82845650718946662</v>
          </cell>
          <cell r="B6">
            <v>1.4159275334572723</v>
          </cell>
          <cell r="I6">
            <v>1.4138341741894165</v>
          </cell>
        </row>
        <row r="7">
          <cell r="A7">
            <v>0.78974899271682519</v>
          </cell>
          <cell r="B7">
            <v>1.4116815842461052</v>
          </cell>
          <cell r="I7">
            <v>1.4127132074672937</v>
          </cell>
        </row>
        <row r="8">
          <cell r="A8">
            <v>0.75252115039394973</v>
          </cell>
          <cell r="B8">
            <v>1.4104455692384592</v>
          </cell>
          <cell r="I8">
            <v>1.4115179409780729</v>
          </cell>
        </row>
        <row r="9">
          <cell r="A9">
            <v>0.71668972635307415</v>
          </cell>
          <cell r="B9">
            <v>1.409346591499685</v>
          </cell>
          <cell r="I9">
            <v>1.4101838523741239</v>
          </cell>
        </row>
        <row r="10">
          <cell r="A10">
            <v>0.68217759745813378</v>
          </cell>
          <cell r="B10">
            <v>1.40950621727825</v>
          </cell>
          <cell r="I10">
            <v>1.4087010339788273</v>
          </cell>
        </row>
        <row r="11">
          <cell r="A11">
            <v>0.64891321717986339</v>
          </cell>
          <cell r="B11">
            <v>1.4065003905147451</v>
          </cell>
          <cell r="I11">
            <v>1.4070893541846003</v>
          </cell>
        </row>
        <row r="12">
          <cell r="A12">
            <v>0.61683012050509445</v>
          </cell>
          <cell r="B12">
            <v>1.4052167934161075</v>
          </cell>
          <cell r="I12">
            <v>1.4053825342724511</v>
          </cell>
        </row>
        <row r="13">
          <cell r="A13">
            <v>0.58586648067078673</v>
          </cell>
          <cell r="B13">
            <v>1.4039608212056049</v>
          </cell>
          <cell r="I13">
            <v>1.403618273735953</v>
          </cell>
        </row>
        <row r="14">
          <cell r="A14">
            <v>0.55596471150230631</v>
          </cell>
          <cell r="B14">
            <v>1.4030816696332105</v>
          </cell>
          <cell r="I14">
            <v>1.4018324337946688</v>
          </cell>
        </row>
        <row r="15">
          <cell r="A15">
            <v>0.52707110997437179</v>
          </cell>
          <cell r="B15">
            <v>1.4010255652577759</v>
          </cell>
          <cell r="I15">
            <v>1.4000559024024584</v>
          </cell>
        </row>
        <row r="16">
          <cell r="A16">
            <v>0.49913553432685143</v>
          </cell>
          <cell r="B16">
            <v>1.3968531685109127</v>
          </cell>
          <cell r="I16">
            <v>1.3983131934754962</v>
          </cell>
        </row>
        <row r="17">
          <cell r="A17">
            <v>0.44595398558732591</v>
          </cell>
          <cell r="B17">
            <v>1.3948926447733376</v>
          </cell>
          <cell r="I17">
            <v>1.394994196156961</v>
          </cell>
        </row>
        <row r="18">
          <cell r="A18">
            <v>0.39607979636758822</v>
          </cell>
          <cell r="B18">
            <v>1.3924451515474492</v>
          </cell>
          <cell r="I18">
            <v>1.3919461560742812</v>
          </cell>
        </row>
        <row r="19">
          <cell r="A19">
            <v>0.34921374405220107</v>
          </cell>
          <cell r="B19">
            <v>1.3888478972546843</v>
          </cell>
          <cell r="I19">
            <v>1.3891634089211462</v>
          </cell>
        </row>
        <row r="20">
          <cell r="A20">
            <v>0.30509164429416596</v>
          </cell>
          <cell r="B20">
            <v>1.3871765312151239</v>
          </cell>
          <cell r="I20">
            <v>1.3865914025958093</v>
          </cell>
        </row>
        <row r="21">
          <cell r="A21">
            <v>0.2634793682581083</v>
          </cell>
          <cell r="B21">
            <v>1.3827778899335159</v>
          </cell>
          <cell r="I21">
            <v>1.3841506012666678</v>
          </cell>
        </row>
        <row r="22">
          <cell r="A22">
            <v>0.22416868665928716</v>
          </cell>
          <cell r="B22">
            <v>1.3831465559168326</v>
          </cell>
          <cell r="I22">
            <v>1.3817543172680724</v>
          </cell>
        </row>
        <row r="23">
          <cell r="A23">
            <v>0.18697378484909338</v>
          </cell>
          <cell r="B23">
            <v>1.37701211602047</v>
          </cell>
          <cell r="I23">
            <v>1.3793206266437352</v>
          </cell>
        </row>
        <row r="24">
          <cell r="A24">
            <v>0.15172832584995777</v>
          </cell>
          <cell r="B24">
            <v>1.3784969167271204</v>
          </cell>
          <cell r="I24">
            <v>1.3767794507331874</v>
          </cell>
        </row>
        <row r="25">
          <cell r="A25">
            <v>0.11828296339041834</v>
          </cell>
          <cell r="B25">
            <v>1.3721661839470893</v>
          </cell>
          <cell r="I25">
            <v>1.3740760518096815</v>
          </cell>
        </row>
        <row r="26">
          <cell r="A26">
            <v>8.6503226503125363E-2</v>
          </cell>
          <cell r="B26">
            <v>1.3738019691731334</v>
          </cell>
          <cell r="I26">
            <v>1.3711720535150782</v>
          </cell>
        </row>
        <row r="27">
          <cell r="A27">
            <v>5.6267712494074355E-2</v>
          </cell>
          <cell r="B27">
            <v>1.3675480473619941</v>
          </cell>
          <cell r="I27">
            <v>1.3680448686500088</v>
          </cell>
        </row>
        <row r="28">
          <cell r="A28">
            <v>2.7466537082327994E-2</v>
          </cell>
          <cell r="B28">
            <v>1.3648684752226807</v>
          </cell>
          <cell r="I28">
            <v>1.3646861891794619</v>
          </cell>
        </row>
        <row r="29">
          <cell r="A29">
            <v>0</v>
          </cell>
          <cell r="B29">
            <v>1.3611</v>
          </cell>
          <cell r="I29">
            <v>1.3611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76885-8C32-4D8E-863E-AFE6A3A8336F}">
  <dimension ref="A1:AB30"/>
  <sheetViews>
    <sheetView tabSelected="1" workbookViewId="0">
      <selection activeCell="N12" sqref="N12"/>
    </sheetView>
  </sheetViews>
  <sheetFormatPr defaultRowHeight="16"/>
  <cols>
    <col min="1" max="4" width="11.75" bestFit="1" customWidth="1"/>
    <col min="5" max="5" width="12.33203125" bestFit="1" customWidth="1"/>
    <col min="7" max="7" width="12.25" bestFit="1" customWidth="1"/>
    <col min="8" max="8" width="11.1640625" bestFit="1" customWidth="1"/>
    <col min="9" max="10" width="11.1640625" customWidth="1"/>
    <col min="11" max="11" width="6.75" bestFit="1" customWidth="1"/>
    <col min="12" max="13" width="7.75" bestFit="1" customWidth="1"/>
    <col min="14" max="16" width="8.75" bestFit="1" customWidth="1"/>
    <col min="19" max="19" width="12.83203125" bestFit="1" customWidth="1"/>
    <col min="20" max="20" width="11.75" bestFit="1" customWidth="1"/>
  </cols>
  <sheetData>
    <row r="1" spans="1:28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29</v>
      </c>
      <c r="K1" s="1" t="s">
        <v>28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t="s">
        <v>9</v>
      </c>
    </row>
    <row r="2" spans="1:28">
      <c r="A2">
        <v>1</v>
      </c>
      <c r="B2">
        <v>1.4235</v>
      </c>
      <c r="C2">
        <f>A2*(1 - A2)</f>
        <v>0</v>
      </c>
      <c r="D2">
        <f>C2*A2</f>
        <v>0</v>
      </c>
      <c r="E2" s="2">
        <f>C2*A2^2</f>
        <v>0</v>
      </c>
      <c r="F2" s="2">
        <f>C2*A2^3</f>
        <v>0</v>
      </c>
      <c r="G2" s="2">
        <f>C2*A2^4</f>
        <v>0</v>
      </c>
      <c r="H2">
        <f>B2 - ($J$2*(1 - A2) + $K$2*A2)</f>
        <v>0</v>
      </c>
      <c r="I2">
        <f xml:space="preserve"> $J$2*(1 - A2) + $K$2*A2
  + A2*(1 - A2) * ( $L$2 + $M$2*A2 + $N$2*A2^2 + $O$2*A2^3 + $P$2*A2^4 )</f>
        <v>1.4235</v>
      </c>
      <c r="J2">
        <v>1.3611</v>
      </c>
      <c r="K2">
        <v>1.4235</v>
      </c>
      <c r="L2">
        <v>7.5354498072922438E-2</v>
      </c>
      <c r="M2">
        <v>-0.19228286922742391</v>
      </c>
      <c r="N2">
        <v>6.2773429889044106E-3</v>
      </c>
      <c r="O2">
        <v>0.64472011028907728</v>
      </c>
      <c r="P2">
        <v>-0.59365193036923969</v>
      </c>
      <c r="Q2">
        <f>B2-I2</f>
        <v>0</v>
      </c>
      <c r="S2" t="s">
        <v>10</v>
      </c>
      <c r="T2">
        <f>SUMXMY2(B2:B29, I2:I29)</f>
        <v>4.5292043735963167E-5</v>
      </c>
    </row>
    <row r="3" spans="1:28">
      <c r="A3">
        <v>0.9543951871292462</v>
      </c>
      <c r="B3">
        <v>1.4170055935897734</v>
      </c>
      <c r="C3">
        <f t="shared" ref="C3:C29" si="0">A3*(1 - A3)</f>
        <v>4.3525013913777326E-2</v>
      </c>
      <c r="D3">
        <f t="shared" ref="D3:D29" si="1">C3*A3</f>
        <v>4.1540063799042556E-2</v>
      </c>
      <c r="E3" s="2">
        <f t="shared" ref="E3:E29" si="2">C3*A3^2</f>
        <v>3.9645636962848049E-2</v>
      </c>
      <c r="F3" s="2">
        <f t="shared" ref="F3:F29" si="3">C3*A3^3</f>
        <v>3.7837605108015523E-2</v>
      </c>
      <c r="G3" s="2">
        <f t="shared" ref="G3:G29" si="4">C3*A3^4</f>
        <v>3.6112028207587001E-2</v>
      </c>
      <c r="H3">
        <f>B3 - ($J$2*(1 - A3) + $K$2*A3)</f>
        <v>-3.6486660870915788E-3</v>
      </c>
      <c r="I3">
        <f xml:space="preserve"> $J$2*(1 - A3) + $K$2*A3
  + A3*(1 - A3) * ( $L$2 + $M$2*A3 + $N$2*A3^2 + $O$2*A3^3 + $P$2*A3^4 )</f>
        <v>1.4191521815433457</v>
      </c>
      <c r="Q3">
        <f>B3-I3</f>
        <v>-2.1465879535722543E-3</v>
      </c>
      <c r="R3" s="1"/>
      <c r="S3" t="s">
        <v>11</v>
      </c>
      <c r="T3">
        <f>SQRT(SUMXMY2(B2:B29, I2:I29)/COUNT(B2:B29))</f>
        <v>1.2718384294280909E-3</v>
      </c>
    </row>
    <row r="4" spans="1:28">
      <c r="A4">
        <v>0.91067802812086807</v>
      </c>
      <c r="B4">
        <v>1.418533874512901</v>
      </c>
      <c r="C4">
        <f t="shared" si="0"/>
        <v>8.1343557218755497E-2</v>
      </c>
      <c r="D4">
        <f t="shared" si="1"/>
        <v>7.4077790288313253E-2</v>
      </c>
      <c r="E4" s="2">
        <f t="shared" si="2"/>
        <v>6.7461015987312301E-2</v>
      </c>
      <c r="F4" s="2">
        <f t="shared" si="3"/>
        <v>6.1435265014355922E-2</v>
      </c>
      <c r="G4" s="2">
        <f t="shared" si="4"/>
        <v>5.594774600035661E-2</v>
      </c>
      <c r="H4">
        <f>B4 - ($J$2*(1 - A4) + $K$2*A4)</f>
        <v>6.0756555815877356E-4</v>
      </c>
      <c r="I4">
        <f xml:space="preserve"> $J$2*(1 - A4) + $K$2*A4
  + A4*(1 - A4) * ( $L$2 + $M$2*A4 + $N$2*A4^2 + $O$2*A4^3 + $P$2*A4^4 )</f>
        <v>1.4166305611762704</v>
      </c>
      <c r="Q4">
        <f>B4-I4</f>
        <v>1.9033133366306298E-3</v>
      </c>
      <c r="R4" s="1"/>
      <c r="S4" t="s">
        <v>12</v>
      </c>
      <c r="T4">
        <f t="array" ref="T4">AVERAGE(ABS(B2:B29 - I2:I29))</f>
        <v>1.0272878579840764E-3</v>
      </c>
    </row>
    <row r="5" spans="1:28">
      <c r="A5">
        <v>0.86873369994933891</v>
      </c>
      <c r="B5">
        <v>1.4144506718615129</v>
      </c>
      <c r="C5">
        <f t="shared" si="0"/>
        <v>0.11403545852167091</v>
      </c>
      <c r="D5">
        <f t="shared" si="1"/>
        <v>9.9066445806950537E-2</v>
      </c>
      <c r="E5" s="2">
        <f t="shared" si="2"/>
        <v>8.6062360006702823E-2</v>
      </c>
      <c r="F5" s="2">
        <f t="shared" si="3"/>
        <v>7.476527243499495E-2</v>
      </c>
      <c r="G5" s="2">
        <f t="shared" si="4"/>
        <v>6.4951111750173485E-2</v>
      </c>
      <c r="H5">
        <f>B5 - ($J$2*(1 - A5) + $K$2*A5)</f>
        <v>-8.5831101532596321E-4</v>
      </c>
      <c r="I5">
        <f xml:space="preserve"> $J$2*(1 - A5) + $K$2*A5
  + A5*(1 - A5) * ( $L$2 + $M$2*A5 + $N$2*A5^2 + $O$2*A5^3 + $P$2*A5^4 )</f>
        <v>1.4150378519444922</v>
      </c>
      <c r="Q5">
        <f>B5-I5</f>
        <v>-5.8718008297931057E-4</v>
      </c>
      <c r="R5" s="1"/>
      <c r="S5" t="s">
        <v>13</v>
      </c>
      <c r="T5" cm="1">
        <f t="array" ref="T5">1 - SUMXMY2(B2:B29, I2:I29)/SUMPRODUCT((B2:B29-AVERAGE(B2:B29))^2)</f>
        <v>0.99484732562376865</v>
      </c>
    </row>
    <row r="6" spans="1:28">
      <c r="A6">
        <v>0.82845650718946662</v>
      </c>
      <c r="B6">
        <v>1.4159275334572723</v>
      </c>
      <c r="C6">
        <f t="shared" si="0"/>
        <v>0.14211632288489587</v>
      </c>
      <c r="D6">
        <f t="shared" si="1"/>
        <v>0.11773719247183129</v>
      </c>
      <c r="E6" s="2">
        <f t="shared" si="2"/>
        <v>9.7540143241507324E-2</v>
      </c>
      <c r="F6" s="2">
        <f t="shared" si="3"/>
        <v>8.08077663806194E-2</v>
      </c>
      <c r="G6" s="2">
        <f t="shared" si="4"/>
        <v>6.6945719889470373E-2</v>
      </c>
      <c r="H6">
        <f>B6 - ($J$2*(1 - A6) + $K$2*A6)</f>
        <v>3.1318474086496906E-3</v>
      </c>
      <c r="I6">
        <f xml:space="preserve"> $J$2*(1 - A6) + $K$2*A6
  + A6*(1 - A6) * ( $L$2 + $M$2*A6 + $N$2*A6^2 + $O$2*A6^3 + $P$2*A6^4 )</f>
        <v>1.4138341741894165</v>
      </c>
      <c r="Q6">
        <f>B6-I6</f>
        <v>2.0933592678558099E-3</v>
      </c>
      <c r="R6" s="1"/>
      <c r="S6" t="s">
        <v>14</v>
      </c>
      <c r="T6">
        <f>1-(1-T5)*((COUNT(B2:B29)-1)/(COUNT(B2:B29)-5-1))</f>
        <v>0.99367626326553427</v>
      </c>
    </row>
    <row r="7" spans="1:28">
      <c r="A7">
        <v>0.78974899271682519</v>
      </c>
      <c r="B7">
        <v>1.4116815842461052</v>
      </c>
      <c r="C7">
        <f t="shared" si="0"/>
        <v>0.16604552121958518</v>
      </c>
      <c r="D7">
        <f t="shared" si="1"/>
        <v>0.13113428312830763</v>
      </c>
      <c r="E7" s="2">
        <f t="shared" si="2"/>
        <v>0.10356316801122391</v>
      </c>
      <c r="F7" s="2">
        <f t="shared" si="3"/>
        <v>8.178890761942742E-2</v>
      </c>
      <c r="G7" s="2">
        <f t="shared" si="4"/>
        <v>6.4592707407852279E-2</v>
      </c>
      <c r="H7">
        <f>B7 - ($J$2*(1 - A7) + $K$2*A7)</f>
        <v>1.3012471005753312E-3</v>
      </c>
      <c r="I7">
        <f xml:space="preserve"> $J$2*(1 - A7) + $K$2*A7
  + A7*(1 - A7) * ( $L$2 + $M$2*A7 + $N$2*A7^2 + $O$2*A7^3 + $P$2*A7^4 )</f>
        <v>1.4127132074672937</v>
      </c>
      <c r="Q7">
        <f>B7-I7</f>
        <v>-1.031623221188438E-3</v>
      </c>
      <c r="R7" s="1"/>
      <c r="S7" t="s">
        <v>15</v>
      </c>
      <c r="T7">
        <f>COUNT(B2:B29)*LN(SUMXMY2(B2:B29,I2:I29)/COUNT(B2:B29))+2*5</f>
        <v>-363.36834320922691</v>
      </c>
    </row>
    <row r="8" spans="1:28">
      <c r="A8">
        <v>0.75252115039394973</v>
      </c>
      <c r="B8">
        <v>1.4104455692384592</v>
      </c>
      <c r="C8">
        <f t="shared" si="0"/>
        <v>0.18623306860371622</v>
      </c>
      <c r="D8">
        <f t="shared" si="1"/>
        <v>0.14014432302706389</v>
      </c>
      <c r="E8" s="2">
        <f t="shared" si="2"/>
        <v>0.10546156718550741</v>
      </c>
      <c r="F8" s="2">
        <f t="shared" si="3"/>
        <v>7.9362059860786857E-2</v>
      </c>
      <c r="G8" s="2">
        <f t="shared" si="4"/>
        <v>5.9721628584072824E-2</v>
      </c>
      <c r="H8">
        <f>B8 - ($J$2*(1 - A8) + $K$2*A8)</f>
        <v>2.3882494538767229E-3</v>
      </c>
      <c r="I8">
        <f xml:space="preserve"> $J$2*(1 - A8) + $K$2*A8
  + A8*(1 - A8) * ( $L$2 + $M$2*A8 + $N$2*A8^2 + $O$2*A8^3 + $P$2*A8^4 )</f>
        <v>1.4115179409780729</v>
      </c>
      <c r="Q8">
        <f>B8-I8</f>
        <v>-1.07237173961372E-3</v>
      </c>
      <c r="R8" s="1"/>
      <c r="S8" t="s">
        <v>16</v>
      </c>
      <c r="T8">
        <f>COUNT(B2:B29)*LN(SUMXMY2(B2:B29,I2:I29)/COUNT(B2:B29))+5*LN(COUNT(B2:B29))</f>
        <v>-356.70732065835091</v>
      </c>
    </row>
    <row r="9" spans="1:28">
      <c r="A9">
        <v>0.71668972635307415</v>
      </c>
      <c r="B9">
        <v>1.409346591499685</v>
      </c>
      <c r="C9">
        <f t="shared" si="0"/>
        <v>0.20304556249302985</v>
      </c>
      <c r="D9">
        <f t="shared" si="1"/>
        <v>0.14552066862033558</v>
      </c>
      <c r="E9" s="2">
        <f t="shared" si="2"/>
        <v>0.10429316817222468</v>
      </c>
      <c r="F9" s="2">
        <f t="shared" si="3"/>
        <v>7.4745842157846853E-2</v>
      </c>
      <c r="G9" s="2">
        <f t="shared" si="4"/>
        <v>5.3569577162137338E-2</v>
      </c>
      <c r="H9">
        <f>B9 - ($J$2*(1 - A9) + $K$2*A9)</f>
        <v>3.5251525752530988E-3</v>
      </c>
      <c r="I9">
        <f xml:space="preserve"> $J$2*(1 - A9) + $K$2*A9
  + A9*(1 - A9) * ( $L$2 + $M$2*A9 + $N$2*A9^2 + $O$2*A9^3 + $P$2*A9^4 )</f>
        <v>1.4101838523741239</v>
      </c>
      <c r="Q9">
        <f>B9-I9</f>
        <v>-8.372608744389165E-4</v>
      </c>
      <c r="R9" s="1"/>
      <c r="S9" t="s">
        <v>17</v>
      </c>
      <c r="T9" cm="1">
        <f t="array" ref="T9">SUMPRODUCT((Q3:Q29-Q2:Q28)^2)/SUMPRODUCT(Q2:Q29^2)</f>
        <v>3.2059294677399479</v>
      </c>
      <c r="Z9" s="1"/>
      <c r="AA9" s="1"/>
      <c r="AB9" s="1"/>
    </row>
    <row r="10" spans="1:28">
      <c r="A10">
        <v>0.68217759745813378</v>
      </c>
      <c r="B10">
        <v>1.40950621727825</v>
      </c>
      <c r="C10">
        <f t="shared" si="0"/>
        <v>0.21681132298438216</v>
      </c>
      <c r="D10">
        <f t="shared" si="1"/>
        <v>0.14790382741520527</v>
      </c>
      <c r="E10" s="2">
        <f t="shared" si="2"/>
        <v>0.1008966776409672</v>
      </c>
      <c r="F10" s="2">
        <f t="shared" si="3"/>
        <v>6.8829453144622812E-2</v>
      </c>
      <c r="G10" s="2">
        <f t="shared" si="4"/>
        <v>4.6953910980555978E-2</v>
      </c>
      <c r="H10">
        <f>B10 - ($J$2*(1 - A10) + $K$2*A10)</f>
        <v>5.8383351968624986E-3</v>
      </c>
      <c r="I10">
        <f xml:space="preserve"> $J$2*(1 - A10) + $K$2*A10
  + A10*(1 - A10) * ( $L$2 + $M$2*A10 + $N$2*A10^2 + $O$2*A10^3 + $P$2*A10^4 )</f>
        <v>1.4087010339788273</v>
      </c>
      <c r="P10" s="1"/>
      <c r="Q10">
        <f>B10-I10</f>
        <v>8.0518329942269595E-4</v>
      </c>
      <c r="R10" s="1"/>
      <c r="T10" s="1"/>
      <c r="U10" s="1"/>
      <c r="V10" s="1"/>
      <c r="X10" s="1"/>
      <c r="Y10" s="1"/>
    </row>
    <row r="11" spans="1:28">
      <c r="A11">
        <v>0.64891321717986339</v>
      </c>
      <c r="B11">
        <v>1.4065003905147451</v>
      </c>
      <c r="C11">
        <f t="shared" si="0"/>
        <v>0.22782485374914285</v>
      </c>
      <c r="D11">
        <f t="shared" si="1"/>
        <v>0.14783855879988814</v>
      </c>
      <c r="E11" s="2">
        <f t="shared" si="2"/>
        <v>9.5934394814069818E-2</v>
      </c>
      <c r="F11" s="2">
        <f t="shared" si="3"/>
        <v>6.2253096777001256E-2</v>
      </c>
      <c r="G11" s="2">
        <f t="shared" si="4"/>
        <v>4.0396857308973265E-2</v>
      </c>
      <c r="H11">
        <f>B11 - ($J$2*(1 - A11) + $K$2*A11)</f>
        <v>4.9082057627216624E-3</v>
      </c>
      <c r="I11">
        <f xml:space="preserve"> $J$2*(1 - A11) + $K$2*A11
  + A11*(1 - A11) * ( $L$2 + $M$2*A11 + $N$2*A11^2 + $O$2*A11^3 + $P$2*A11^4 )</f>
        <v>1.4070893541846003</v>
      </c>
      <c r="Q11">
        <f>B11-I11</f>
        <v>-5.8896366985528026E-4</v>
      </c>
      <c r="R11" s="1"/>
    </row>
    <row r="12" spans="1:28">
      <c r="A12">
        <v>0.61683012050509445</v>
      </c>
      <c r="B12">
        <v>1.4052167934161075</v>
      </c>
      <c r="C12">
        <f t="shared" si="0"/>
        <v>0.2363507229427651</v>
      </c>
      <c r="D12">
        <f t="shared" si="1"/>
        <v>0.14578824491425199</v>
      </c>
      <c r="E12" s="2">
        <f t="shared" si="2"/>
        <v>8.9926580678684281E-2</v>
      </c>
      <c r="F12" s="2">
        <f t="shared" si="3"/>
        <v>5.5469423596643926E-2</v>
      </c>
      <c r="G12" s="2">
        <f t="shared" si="4"/>
        <v>3.4215211241466002E-2</v>
      </c>
      <c r="H12">
        <f>B12 - ($J$2*(1 - A12) + $K$2*A12)</f>
        <v>5.6265938965898155E-3</v>
      </c>
      <c r="I12">
        <f xml:space="preserve"> $J$2*(1 - A12) + $K$2*A12
  + A12*(1 - A12) * ( $L$2 + $M$2*A12 + $N$2*A12^2 + $O$2*A12^3 + $P$2*A12^4 )</f>
        <v>1.4053825342724511</v>
      </c>
      <c r="Q12">
        <f>B12-I12</f>
        <v>-1.6574085634357694E-4</v>
      </c>
      <c r="R12" s="1"/>
    </row>
    <row r="13" spans="1:28">
      <c r="A13">
        <v>0.58586648067078673</v>
      </c>
      <c r="B13">
        <v>1.4039608212056049</v>
      </c>
      <c r="C13">
        <f t="shared" si="0"/>
        <v>0.24262694749721342</v>
      </c>
      <c r="D13">
        <f t="shared" si="1"/>
        <v>0.14214699584608817</v>
      </c>
      <c r="E13" s="2">
        <f t="shared" si="2"/>
        <v>8.3279160194272617E-2</v>
      </c>
      <c r="F13" s="2">
        <f t="shared" si="3"/>
        <v>4.8790468496237166E-2</v>
      </c>
      <c r="G13" s="2">
        <f t="shared" si="4"/>
        <v>2.858470006816936E-2</v>
      </c>
      <c r="H13">
        <f>B13 - ($J$2*(1 - A13) + $K$2*A13)</f>
        <v>6.3027528117478582E-3</v>
      </c>
      <c r="I13">
        <f xml:space="preserve"> $J$2*(1 - A13) + $K$2*A13
  + A13*(1 - A13) * ( $L$2 + $M$2*A13 + $N$2*A13^2 + $O$2*A13^3 + $P$2*A13^4 )</f>
        <v>1.403618273735953</v>
      </c>
      <c r="Q13">
        <f>B13-I13</f>
        <v>3.4254746965189931E-4</v>
      </c>
      <c r="R13" s="1"/>
      <c r="T13" t="s">
        <v>18</v>
      </c>
      <c r="U13" t="s">
        <v>19</v>
      </c>
      <c r="V13" t="s">
        <v>20</v>
      </c>
      <c r="W13" t="s">
        <v>21</v>
      </c>
      <c r="X13" t="s">
        <v>22</v>
      </c>
    </row>
    <row r="14" spans="1:28">
      <c r="A14">
        <v>0.55596471150230631</v>
      </c>
      <c r="B14">
        <v>1.4030816696332105</v>
      </c>
      <c r="C14">
        <f t="shared" si="0"/>
        <v>0.24686795106646361</v>
      </c>
      <c r="D14">
        <f t="shared" si="1"/>
        <v>0.13724986919383192</v>
      </c>
      <c r="E14" s="2">
        <f t="shared" si="2"/>
        <v>7.6306083930078039E-2</v>
      </c>
      <c r="F14" s="2">
        <f t="shared" si="3"/>
        <v>4.2423489938056606E-2</v>
      </c>
      <c r="G14" s="2">
        <f t="shared" si="4"/>
        <v>2.3585963344332633E-2</v>
      </c>
      <c r="H14">
        <f>B14 - ($J$2*(1 - A14) + $K$2*A14)</f>
        <v>7.2894716354665601E-3</v>
      </c>
      <c r="I14">
        <f xml:space="preserve"> $J$2*(1 - A14) + $K$2*A14
  + A14*(1 - A14) * ( $L$2 + $M$2*A14 + $N$2*A14^2 + $O$2*A14^3 + $P$2*A14^4 )</f>
        <v>1.4018324337946688</v>
      </c>
      <c r="Q14">
        <f>B14-I14</f>
        <v>1.2492358385416402E-3</v>
      </c>
      <c r="R14" s="1"/>
      <c r="S14" t="s">
        <v>10</v>
      </c>
      <c r="T14">
        <v>1.3322405457149843E-4</v>
      </c>
      <c r="U14">
        <v>6.946921088096984E-5</v>
      </c>
      <c r="V14">
        <v>6.9393623157110987E-5</v>
      </c>
      <c r="W14">
        <v>4.4679767548339404E-5</v>
      </c>
      <c r="X14">
        <v>4.5329370145339813E-5</v>
      </c>
    </row>
    <row r="15" spans="1:28">
      <c r="A15">
        <v>0.52707110997437179</v>
      </c>
      <c r="B15">
        <v>1.4010255652577759</v>
      </c>
      <c r="C15">
        <f t="shared" si="0"/>
        <v>0.24926715500475546</v>
      </c>
      <c r="D15">
        <f t="shared" si="1"/>
        <v>0.13138151606851026</v>
      </c>
      <c r="E15" s="2">
        <f t="shared" si="2"/>
        <v>6.9247401504345454E-2</v>
      </c>
      <c r="F15" s="2">
        <f t="shared" si="3"/>
        <v>3.6498304773736341E-2</v>
      </c>
      <c r="G15" s="2">
        <f t="shared" si="4"/>
        <v>1.9237202009276123E-2</v>
      </c>
      <c r="H15">
        <f>B15 - ($J$2*(1 - A15) + $K$2*A15)</f>
        <v>7.0363279953751245E-3</v>
      </c>
      <c r="I15">
        <f xml:space="preserve"> $J$2*(1 - A15) + $K$2*A15
  + A15*(1 - A15) * ( $L$2 + $M$2*A15 + $N$2*A15^2 + $O$2*A15^3 + $P$2*A15^4 )</f>
        <v>1.4000559024024584</v>
      </c>
      <c r="Q15">
        <f>B15-I15</f>
        <v>9.6966285531752128E-4</v>
      </c>
      <c r="R15" s="1"/>
      <c r="S15" t="s">
        <v>11</v>
      </c>
      <c r="T15">
        <v>2.1812844722736385E-3</v>
      </c>
      <c r="U15">
        <v>1.5751327708320093E-3</v>
      </c>
      <c r="V15">
        <v>1.5742756061701952E-3</v>
      </c>
      <c r="W15">
        <v>1.2632125648002653E-3</v>
      </c>
      <c r="X15">
        <v>1.2723623998764184E-3</v>
      </c>
    </row>
    <row r="16" spans="1:28">
      <c r="A16">
        <v>0.49913553432685143</v>
      </c>
      <c r="B16">
        <v>1.3968531685109127</v>
      </c>
      <c r="C16">
        <f t="shared" si="0"/>
        <v>0.24999925269909995</v>
      </c>
      <c r="D16">
        <f t="shared" si="1"/>
        <v>0.12478351057727881</v>
      </c>
      <c r="E16" s="2">
        <f t="shared" si="2"/>
        <v>6.228388422717037E-2</v>
      </c>
      <c r="F16" s="2">
        <f t="shared" si="3"/>
        <v>3.1088099833680438E-2</v>
      </c>
      <c r="G16" s="2">
        <f t="shared" si="4"/>
        <v>1.5517175321690587E-2</v>
      </c>
      <c r="H16">
        <f>B16 - ($J$2*(1 - A16) + $K$2*A16)</f>
        <v>4.6071111689169886E-3</v>
      </c>
      <c r="I16">
        <f xml:space="preserve"> $J$2*(1 - A16) + $K$2*A16
  + A16*(1 - A16) * ( $L$2 + $M$2*A16 + $N$2*A16^2 + $O$2*A16^3 + $P$2*A16^4 )</f>
        <v>1.3983131934754962</v>
      </c>
      <c r="Q16">
        <f>B16-I16</f>
        <v>-1.4600249645835284E-3</v>
      </c>
      <c r="R16" s="1"/>
      <c r="S16" t="s">
        <v>12</v>
      </c>
      <c r="T16">
        <v>1.5496301983846977E-3</v>
      </c>
      <c r="U16">
        <v>1.2251486949032473E-3</v>
      </c>
      <c r="V16">
        <v>1.2295805100188764E-3</v>
      </c>
      <c r="W16">
        <v>1.0154075342877647E-3</v>
      </c>
      <c r="X16">
        <v>1.0276665667412318E-3</v>
      </c>
    </row>
    <row r="17" spans="1:24">
      <c r="A17">
        <v>0.44595398558732591</v>
      </c>
      <c r="B17">
        <v>1.3948926447733376</v>
      </c>
      <c r="C17">
        <f t="shared" si="0"/>
        <v>0.24707902832610504</v>
      </c>
      <c r="D17">
        <f t="shared" si="1"/>
        <v>0.11018587743707034</v>
      </c>
      <c r="E17" s="2">
        <f t="shared" si="2"/>
        <v>4.9137831198498121E-2</v>
      </c>
      <c r="F17" s="2">
        <f t="shared" si="3"/>
        <v>2.1913211666087482E-2</v>
      </c>
      <c r="G17" s="2">
        <f t="shared" si="4"/>
        <v>9.7722840795103991E-3</v>
      </c>
      <c r="H17">
        <f>B17 - ($J$2*(1 - A17) + $K$2*A17)</f>
        <v>5.9651160726883479E-3</v>
      </c>
      <c r="I17">
        <f xml:space="preserve"> $J$2*(1 - A17) + $K$2*A17
  + A17*(1 - A17) * ( $L$2 + $M$2*A17 + $N$2*A17^2 + $O$2*A17^3 + $P$2*A17^4 )</f>
        <v>1.394994196156961</v>
      </c>
      <c r="Q17">
        <f>B17-I17</f>
        <v>-1.0155138362333282E-4</v>
      </c>
      <c r="R17" s="1"/>
      <c r="S17" t="s">
        <v>13</v>
      </c>
      <c r="T17">
        <v>0.98484369183492737</v>
      </c>
      <c r="U17">
        <v>0.99209679684736418</v>
      </c>
      <c r="V17">
        <v>0.99210539612652571</v>
      </c>
      <c r="W17">
        <v>0.99491698156249242</v>
      </c>
      <c r="X17">
        <v>0.9948430791641858</v>
      </c>
    </row>
    <row r="18" spans="1:24">
      <c r="A18">
        <v>0.39607979636758822</v>
      </c>
      <c r="B18">
        <v>1.3924451515474492</v>
      </c>
      <c r="C18">
        <f t="shared" si="0"/>
        <v>0.23920059127699808</v>
      </c>
      <c r="D18">
        <f t="shared" si="1"/>
        <v>9.47425214840001E-2</v>
      </c>
      <c r="E18" s="2">
        <f t="shared" si="2"/>
        <v>3.7525598616734608E-2</v>
      </c>
      <c r="F18" s="2">
        <f t="shared" si="3"/>
        <v>1.4863131458688094E-2</v>
      </c>
      <c r="G18" s="2">
        <f t="shared" si="4"/>
        <v>5.8869860815418742E-3</v>
      </c>
      <c r="H18">
        <f>B18 - ($J$2*(1 - A18) + $K$2*A18)</f>
        <v>6.6297722541115434E-3</v>
      </c>
      <c r="I18">
        <f xml:space="preserve"> $J$2*(1 - A18) + $K$2*A18
  + A18*(1 - A18) * ( $L$2 + $M$2*A18 + $N$2*A18^2 + $O$2*A18^3 + $P$2*A18^4 )</f>
        <v>1.3919461560742812</v>
      </c>
      <c r="Q18">
        <f>B18-I18</f>
        <v>4.9899547316800685E-4</v>
      </c>
      <c r="R18" s="1"/>
      <c r="S18" t="s">
        <v>14</v>
      </c>
      <c r="T18">
        <v>0.98139907634286538</v>
      </c>
      <c r="U18">
        <v>0.99030061431267424</v>
      </c>
      <c r="V18">
        <v>0.99031116797346341</v>
      </c>
      <c r="W18">
        <v>0.99376175009942247</v>
      </c>
      <c r="X18">
        <v>0.99367105170150072</v>
      </c>
    </row>
    <row r="19" spans="1:24">
      <c r="A19">
        <v>0.34921374405220107</v>
      </c>
      <c r="B19">
        <v>1.3888478972546843</v>
      </c>
      <c r="C19">
        <f t="shared" si="0"/>
        <v>0.22726350501724488</v>
      </c>
      <c r="D19">
        <f t="shared" si="1"/>
        <v>7.9363539473498265E-2</v>
      </c>
      <c r="E19" s="2">
        <f t="shared" si="2"/>
        <v>2.771483876077498E-2</v>
      </c>
      <c r="F19" s="2">
        <f t="shared" si="3"/>
        <v>9.678402609453296E-3</v>
      </c>
      <c r="G19" s="2">
        <f t="shared" si="4"/>
        <v>3.3798312116917776E-3</v>
      </c>
      <c r="H19">
        <f>B19 - ($J$2*(1 - A19) + $K$2*A19)</f>
        <v>5.9569596258268742E-3</v>
      </c>
      <c r="I19">
        <f xml:space="preserve"> $J$2*(1 - A19) + $K$2*A19
  + A19*(1 - A19) * ( $L$2 + $M$2*A19 + $N$2*A19^2 + $O$2*A19^3 + $P$2*A19^4 )</f>
        <v>1.3891634089211462</v>
      </c>
      <c r="Q19">
        <f>B19-I19</f>
        <v>-3.1551166646193174E-4</v>
      </c>
      <c r="R19" s="1"/>
      <c r="S19" t="s">
        <v>15</v>
      </c>
      <c r="T19">
        <v>-333.159116620921</v>
      </c>
      <c r="U19">
        <v>-351.39127983372617</v>
      </c>
      <c r="V19">
        <v>-351.4217625253944</v>
      </c>
      <c r="W19">
        <v>-363.74944030313833</v>
      </c>
      <c r="X19">
        <v>-363.34527714841659</v>
      </c>
    </row>
    <row r="20" spans="1:24">
      <c r="A20">
        <v>0.30509164429416596</v>
      </c>
      <c r="B20">
        <v>1.3871765312151239</v>
      </c>
      <c r="C20">
        <f t="shared" si="0"/>
        <v>0.21201073287604805</v>
      </c>
      <c r="D20">
        <f t="shared" si="1"/>
        <v>6.4682703101164682E-2</v>
      </c>
      <c r="E20" s="2">
        <f t="shared" si="2"/>
        <v>1.9734152246525683E-2</v>
      </c>
      <c r="F20" s="2">
        <f t="shared" si="3"/>
        <v>6.0207249576439293E-3</v>
      </c>
      <c r="G20" s="2">
        <f t="shared" si="4"/>
        <v>1.8368728771705092E-3</v>
      </c>
      <c r="H20">
        <f>B20 - ($J$2*(1 - A20) + $K$2*A20)</f>
        <v>7.0388126111680105E-3</v>
      </c>
      <c r="I20">
        <f xml:space="preserve"> $J$2*(1 - A20) + $K$2*A20
  + A20*(1 - A20) * ( $L$2 + $M$2*A20 + $N$2*A20^2 + $O$2*A20^3 + $P$2*A20^4 )</f>
        <v>1.3865914025958093</v>
      </c>
      <c r="Q20">
        <f>B20-I20</f>
        <v>5.8512861931458993E-4</v>
      </c>
      <c r="R20" s="1"/>
      <c r="S20" t="s">
        <v>16</v>
      </c>
      <c r="T20">
        <v>-326.498094070045</v>
      </c>
      <c r="U20">
        <v>-344.73025728285018</v>
      </c>
      <c r="V20">
        <v>-344.7607399745184</v>
      </c>
      <c r="W20">
        <v>-357.08841775226233</v>
      </c>
      <c r="X20">
        <v>-356.68425459754059</v>
      </c>
    </row>
    <row r="21" spans="1:24">
      <c r="A21">
        <v>0.2634793682581083</v>
      </c>
      <c r="B21">
        <v>1.3827778899335159</v>
      </c>
      <c r="C21">
        <f t="shared" si="0"/>
        <v>0.19405799076041647</v>
      </c>
      <c r="D21">
        <f t="shared" si="1"/>
        <v>5.1130276810992352E-2</v>
      </c>
      <c r="E21" s="2">
        <f t="shared" si="2"/>
        <v>1.347177303302247E-2</v>
      </c>
      <c r="F21" s="2">
        <f t="shared" si="3"/>
        <v>3.5495342480573798E-3</v>
      </c>
      <c r="G21" s="2">
        <f t="shared" si="4"/>
        <v>9.3522904128867798E-4</v>
      </c>
      <c r="H21">
        <f>B21 - ($J$2*(1 - A21) + $K$2*A21)</f>
        <v>5.2367773542101315E-3</v>
      </c>
      <c r="I21">
        <f xml:space="preserve"> $J$2*(1 - A21) + $K$2*A21
  + A21*(1 - A21) * ( $L$2 + $M$2*A21 + $N$2*A21^2 + $O$2*A21^3 + $P$2*A21^4 )</f>
        <v>1.3841506012666678</v>
      </c>
      <c r="Q21">
        <f>B21-I21</f>
        <v>-1.3727113331518659E-3</v>
      </c>
      <c r="R21" s="1"/>
      <c r="S21" t="s">
        <v>17</v>
      </c>
      <c r="T21">
        <v>1.2225241155144404</v>
      </c>
      <c r="U21">
        <v>2.2406914644022828</v>
      </c>
      <c r="V21">
        <v>2.2452346920802642</v>
      </c>
      <c r="W21">
        <v>3.2863103135606377</v>
      </c>
      <c r="X21">
        <v>3.2030275632333582</v>
      </c>
    </row>
    <row r="22" spans="1:24">
      <c r="A22">
        <v>0.22416868665928716</v>
      </c>
      <c r="B22">
        <v>1.3831465559168326</v>
      </c>
      <c r="C22">
        <f t="shared" si="0"/>
        <v>0.17391708658073748</v>
      </c>
      <c r="D22">
        <f t="shared" si="1"/>
        <v>3.8986764886413457E-2</v>
      </c>
      <c r="E22" s="2">
        <f t="shared" si="2"/>
        <v>8.7396118816817168E-3</v>
      </c>
      <c r="F22" s="2">
        <f t="shared" si="3"/>
        <v>1.959147317428492E-3</v>
      </c>
      <c r="G22" s="2">
        <f t="shared" si="4"/>
        <v>4.3917948112001058E-4</v>
      </c>
      <c r="H22">
        <f>B22 - ($J$2*(1 - A22) + $K$2*A22)</f>
        <v>8.058429869292949E-3</v>
      </c>
      <c r="I22">
        <f xml:space="preserve"> $J$2*(1 - A22) + $K$2*A22
  + A22*(1 - A22) * ( $L$2 + $M$2*A22 + $N$2*A22^2 + $O$2*A22^3 + $P$2*A22^4 )</f>
        <v>1.3817543172680724</v>
      </c>
      <c r="Q22">
        <f>B22-I22</f>
        <v>1.3922386487601468E-3</v>
      </c>
      <c r="R22" s="1"/>
    </row>
    <row r="23" spans="1:24">
      <c r="A23">
        <v>0.18697378484909338</v>
      </c>
      <c r="B23">
        <v>1.37701211602047</v>
      </c>
      <c r="C23">
        <f t="shared" si="0"/>
        <v>0.15201458862829834</v>
      </c>
      <c r="D23">
        <f t="shared" si="1"/>
        <v>2.8422742988110889E-2</v>
      </c>
      <c r="E23" s="2">
        <f t="shared" si="2"/>
        <v>5.3143078322801232E-3</v>
      </c>
      <c r="F23" s="2">
        <f t="shared" si="3"/>
        <v>9.9363624925459548E-4</v>
      </c>
      <c r="G23" s="2">
        <f t="shared" si="4"/>
        <v>1.8578393028638888E-4</v>
      </c>
      <c r="H23">
        <f>B23 - ($J$2*(1 - A23) + $K$2*A23)</f>
        <v>4.2449518458866908E-3</v>
      </c>
      <c r="I23">
        <f xml:space="preserve"> $J$2*(1 - A23) + $K$2*A23
  + A23*(1 - A23) * ( $L$2 + $M$2*A23 + $N$2*A23^2 + $O$2*A23^3 + $P$2*A23^4 )</f>
        <v>1.3793206266437352</v>
      </c>
      <c r="Q23">
        <f>B23-I23</f>
        <v>-2.3085106232652031E-3</v>
      </c>
      <c r="R23" s="1"/>
    </row>
    <row r="24" spans="1:24">
      <c r="A24">
        <v>0.15172832584995777</v>
      </c>
      <c r="B24">
        <v>1.3784969167271204</v>
      </c>
      <c r="C24">
        <f t="shared" si="0"/>
        <v>0.12870684098472682</v>
      </c>
      <c r="D24">
        <f t="shared" si="1"/>
        <v>1.9528473508049329E-2</v>
      </c>
      <c r="E24" s="2">
        <f t="shared" si="2"/>
        <v>2.9630225917815765E-3</v>
      </c>
      <c r="F24" s="2">
        <f t="shared" si="3"/>
        <v>4.4957445730662145E-4</v>
      </c>
      <c r="G24" s="2">
        <f t="shared" si="4"/>
        <v>6.8213179752036978E-5</v>
      </c>
      <c r="H24">
        <f>B24 - ($J$2*(1 - A24) + $K$2*A24)</f>
        <v>7.9290691940829827E-3</v>
      </c>
      <c r="I24">
        <f xml:space="preserve"> $J$2*(1 - A24) + $K$2*A24
  + A24*(1 - A24) * ( $L$2 + $M$2*A24 + $N$2*A24^2 + $O$2*A24^3 + $P$2*A24^4 )</f>
        <v>1.3767794507331874</v>
      </c>
      <c r="Q24">
        <f>B24-I24</f>
        <v>1.7174659939329651E-3</v>
      </c>
      <c r="R24" s="1"/>
    </row>
    <row r="25" spans="1:24">
      <c r="A25">
        <v>0.11828296339041834</v>
      </c>
      <c r="B25">
        <v>1.3721661839470893</v>
      </c>
      <c r="C25">
        <f t="shared" si="0"/>
        <v>0.1042921039619993</v>
      </c>
      <c r="D25">
        <f t="shared" si="1"/>
        <v>1.2335979114846867E-2</v>
      </c>
      <c r="E25" s="2">
        <f t="shared" si="2"/>
        <v>1.4591361660263973E-3</v>
      </c>
      <c r="F25" s="2">
        <f t="shared" si="3"/>
        <v>1.7259094970773574E-4</v>
      </c>
      <c r="G25" s="2">
        <f t="shared" si="4"/>
        <v>2.0414568985797641E-5</v>
      </c>
      <c r="H25">
        <f>B25 - ($J$2*(1 - A25) + $K$2*A25)</f>
        <v>3.6853270315271303E-3</v>
      </c>
      <c r="I25">
        <f xml:space="preserve"> $J$2*(1 - A25) + $K$2*A25
  + A25*(1 - A25) * ( $L$2 + $M$2*A25 + $N$2*A25^2 + $O$2*A25^3 + $P$2*A25^4 )</f>
        <v>1.3740760518096815</v>
      </c>
      <c r="Q25">
        <f>B25-I25</f>
        <v>-1.9098678625921739E-3</v>
      </c>
      <c r="R25" s="1"/>
    </row>
    <row r="26" spans="1:24">
      <c r="A26">
        <v>8.6503226503125363E-2</v>
      </c>
      <c r="B26">
        <v>1.3738019691731334</v>
      </c>
      <c r="C26">
        <f t="shared" si="0"/>
        <v>7.9020418307674353E-2</v>
      </c>
      <c r="D26">
        <f t="shared" si="1"/>
        <v>6.8355211432404687E-3</v>
      </c>
      <c r="E26" s="2">
        <f t="shared" si="2"/>
        <v>5.9129463372063263E-4</v>
      </c>
      <c r="F26" s="2">
        <f t="shared" si="3"/>
        <v>5.1148893630818438E-5</v>
      </c>
      <c r="G26" s="2">
        <f t="shared" si="4"/>
        <v>4.4245443311309536E-6</v>
      </c>
      <c r="H26">
        <f>B26 - ($J$2*(1 - A26) + $K$2*A26)</f>
        <v>7.3041678393384046E-3</v>
      </c>
      <c r="I26">
        <f xml:space="preserve"> $J$2*(1 - A26) + $K$2*A26
  + A26*(1 - A26) * ( $L$2 + $M$2*A26 + $N$2*A26^2 + $O$2*A26^3 + $P$2*A26^4 )</f>
        <v>1.3711720535150782</v>
      </c>
      <c r="Q26">
        <f>B26-I26</f>
        <v>2.6299156580551486E-3</v>
      </c>
      <c r="R26" s="1"/>
    </row>
    <row r="27" spans="1:24">
      <c r="A27">
        <v>5.6267712494074355E-2</v>
      </c>
      <c r="B27">
        <v>1.3675480473619941</v>
      </c>
      <c r="C27">
        <f t="shared" si="0"/>
        <v>5.3101657024758546E-2</v>
      </c>
      <c r="D27">
        <f t="shared" si="1"/>
        <v>2.9879087704280578E-3</v>
      </c>
      <c r="E27" s="2">
        <f t="shared" si="2"/>
        <v>1.6812279165296916E-4</v>
      </c>
      <c r="F27" s="2">
        <f t="shared" si="3"/>
        <v>9.4598849044304326E-6</v>
      </c>
      <c r="G27" s="2">
        <f t="shared" si="4"/>
        <v>5.3228608402952566E-7</v>
      </c>
      <c r="H27">
        <f>B27 - ($J$2*(1 - A27) + $K$2*A27)</f>
        <v>2.9369421023637265E-3</v>
      </c>
      <c r="I27">
        <f xml:space="preserve"> $J$2*(1 - A27) + $K$2*A27
  + A27*(1 - A27) * ( $L$2 + $M$2*A27 + $N$2*A27^2 + $O$2*A27^3 + $P$2*A27^4 )</f>
        <v>1.3680448686500088</v>
      </c>
      <c r="Q27">
        <f>B27-I27</f>
        <v>-4.9682128801475933E-4</v>
      </c>
      <c r="R27" s="1"/>
    </row>
    <row r="28" spans="1:24">
      <c r="A28">
        <v>2.7466537082327994E-2</v>
      </c>
      <c r="B28">
        <v>1.3648684752226807</v>
      </c>
      <c r="C28">
        <f t="shared" si="0"/>
        <v>2.6712126423033094E-2</v>
      </c>
      <c r="D28">
        <f t="shared" si="1"/>
        <v>7.3368961094607188E-4</v>
      </c>
      <c r="E28" s="2">
        <f t="shared" si="2"/>
        <v>2.0151912905969082E-5</v>
      </c>
      <c r="F28" s="2">
        <f t="shared" si="3"/>
        <v>5.5350326311164387E-7</v>
      </c>
      <c r="G28" s="2">
        <f t="shared" si="4"/>
        <v>1.5202817901445518E-8</v>
      </c>
      <c r="H28">
        <f>B28 - ($J$2*(1 - A28) + $K$2*A28)</f>
        <v>2.054563308743651E-3</v>
      </c>
      <c r="I28">
        <f xml:space="preserve"> $J$2*(1 - A28) + $K$2*A28
  + A28*(1 - A28) * ( $L$2 + $M$2*A28 + $N$2*A28^2 + $O$2*A28^3 + $P$2*A28^4 )</f>
        <v>1.3646861891794619</v>
      </c>
      <c r="Q28">
        <f>B28-I28</f>
        <v>1.8228604321879338E-4</v>
      </c>
      <c r="R28" s="1"/>
    </row>
    <row r="29" spans="1:24">
      <c r="A29">
        <v>0</v>
      </c>
      <c r="B29">
        <v>1.3611</v>
      </c>
      <c r="C29">
        <f t="shared" si="0"/>
        <v>0</v>
      </c>
      <c r="D29">
        <f t="shared" si="1"/>
        <v>0</v>
      </c>
      <c r="E29" s="2">
        <f t="shared" si="2"/>
        <v>0</v>
      </c>
      <c r="F29" s="2">
        <f t="shared" si="3"/>
        <v>0</v>
      </c>
      <c r="G29" s="2">
        <f t="shared" si="4"/>
        <v>0</v>
      </c>
      <c r="H29">
        <f>B29 - ($J$2*(1 - A29) + $K$2*A29)</f>
        <v>0</v>
      </c>
      <c r="I29">
        <f xml:space="preserve"> $J$2*(1 - A29) + $K$2*A29
  + A29*(1 - A29) * ( $L$2 + $M$2*A29 + $N$2*A29^2 + $O$2*A29^3 + $P$2*A29^4 )</f>
        <v>1.3611</v>
      </c>
      <c r="Q29">
        <f>B29-I29</f>
        <v>0</v>
      </c>
      <c r="R29" s="1"/>
    </row>
    <row r="30" spans="1:24">
      <c r="R3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Pellizzeri</dc:creator>
  <cp:lastModifiedBy>Steven Pellizzeri</cp:lastModifiedBy>
  <dcterms:created xsi:type="dcterms:W3CDTF">2025-12-18T14:27:50Z</dcterms:created>
  <dcterms:modified xsi:type="dcterms:W3CDTF">2025-12-18T14:31:51Z</dcterms:modified>
</cp:coreProperties>
</file>